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Home/Users/craig/D&amp;M Industries/D&amp;M Computing PL/Deliverables/D000076 - Languidiser/"/>
    </mc:Choice>
  </mc:AlternateContent>
  <xr:revisionPtr revIDLastSave="0" documentId="13_ncr:1_{3A00DDAE-E7AF-954B-B4D2-B9B91192866F}" xr6:coauthVersionLast="47" xr6:coauthVersionMax="47" xr10:uidLastSave="{00000000-0000-0000-0000-000000000000}"/>
  <bookViews>
    <workbookView xWindow="0" yWindow="500" windowWidth="38400" windowHeight="21100" activeTab="2" xr2:uid="{00000000-000D-0000-FFFF-FFFF00000000}"/>
  </bookViews>
  <sheets>
    <sheet name="Languages" sheetId="2" r:id="rId1"/>
    <sheet name="Strings" sheetId="1" r:id="rId2"/>
    <sheet name="Templates" sheetId="3" r:id="rId3"/>
    <sheet name="Histogram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A7" i="1" s="1"/>
  <c r="D8" i="1"/>
  <c r="D9" i="1"/>
  <c r="D10" i="1"/>
  <c r="D11" i="1"/>
  <c r="D12" i="1"/>
  <c r="D13" i="1"/>
  <c r="D14" i="1"/>
  <c r="A14" i="1" s="1"/>
  <c r="D15" i="1"/>
  <c r="A15" i="1" s="1"/>
  <c r="D16" i="1"/>
  <c r="D17" i="1"/>
  <c r="D18" i="1"/>
  <c r="D19" i="1"/>
  <c r="D20" i="1"/>
  <c r="D21" i="1"/>
  <c r="D22" i="1"/>
  <c r="A22" i="1" s="1"/>
  <c r="D23" i="1"/>
  <c r="A23" i="1" s="1"/>
  <c r="D24" i="1"/>
  <c r="D25" i="1"/>
  <c r="D26" i="1"/>
  <c r="D27" i="1"/>
  <c r="D28" i="1"/>
  <c r="D29" i="1"/>
  <c r="D30" i="1"/>
  <c r="A30" i="1" s="1"/>
  <c r="D31" i="1"/>
  <c r="A31" i="1" s="1"/>
  <c r="D32" i="1"/>
  <c r="D33" i="1"/>
  <c r="D34" i="1"/>
  <c r="D4" i="1"/>
  <c r="A4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A8" i="1"/>
  <c r="A11" i="1"/>
  <c r="A12" i="1"/>
  <c r="A16" i="1"/>
  <c r="A19" i="1"/>
  <c r="A20" i="1"/>
  <c r="A24" i="1"/>
  <c r="A27" i="1"/>
  <c r="A28" i="1"/>
  <c r="A32" i="1"/>
  <c r="A5" i="1"/>
  <c r="A6" i="1"/>
  <c r="A9" i="1"/>
  <c r="A10" i="1"/>
  <c r="A13" i="1"/>
  <c r="A17" i="1"/>
  <c r="A18" i="1"/>
  <c r="A21" i="1"/>
  <c r="A25" i="1"/>
  <c r="A26" i="1"/>
  <c r="A29" i="1"/>
  <c r="A33" i="1"/>
  <c r="A34" i="1"/>
</calcChain>
</file>

<file path=xl/sharedStrings.xml><?xml version="1.0" encoding="utf-8"?>
<sst xmlns="http://schemas.openxmlformats.org/spreadsheetml/2006/main" count="626" uniqueCount="551">
  <si>
    <t>English</t>
  </si>
  <si>
    <t>German</t>
  </si>
  <si>
    <t>French</t>
  </si>
  <si>
    <t>Japanese</t>
  </si>
  <si>
    <t>Code Identifier</t>
  </si>
  <si>
    <t>Arabic</t>
  </si>
  <si>
    <t>Hebrew</t>
  </si>
  <si>
    <t>Welsh</t>
  </si>
  <si>
    <t>Language Identifier</t>
  </si>
  <si>
    <t>en</t>
  </si>
  <si>
    <t>de</t>
  </si>
  <si>
    <t>cy</t>
  </si>
  <si>
    <t>fr</t>
  </si>
  <si>
    <t>he</t>
  </si>
  <si>
    <t>ar</t>
  </si>
  <si>
    <t>ja</t>
  </si>
  <si>
    <t>zh-t</t>
  </si>
  <si>
    <t>zh-s</t>
  </si>
  <si>
    <t>Description</t>
  </si>
  <si>
    <t>ru</t>
  </si>
  <si>
    <t>el</t>
  </si>
  <si>
    <t>Greek</t>
  </si>
  <si>
    <t>Russian</t>
  </si>
  <si>
    <t>Chinese Traditional</t>
  </si>
  <si>
    <t>Chinese Simplified</t>
  </si>
  <si>
    <t>Debug</t>
  </si>
  <si>
    <t>ga</t>
  </si>
  <si>
    <t>Irish</t>
  </si>
  <si>
    <t>pt</t>
  </si>
  <si>
    <t>Portugese</t>
  </si>
  <si>
    <t>es</t>
  </si>
  <si>
    <t>Spanish</t>
  </si>
  <si>
    <t>hi</t>
  </si>
  <si>
    <t>Hindi</t>
  </si>
  <si>
    <t>tr</t>
  </si>
  <si>
    <t>Turkish</t>
  </si>
  <si>
    <t>dbg</t>
  </si>
  <si>
    <t>Max # Chars</t>
  </si>
  <si>
    <t>EMV</t>
  </si>
  <si>
    <t>Accepted</t>
  </si>
  <si>
    <t>Declined</t>
  </si>
  <si>
    <t>ICC Declined</t>
  </si>
  <si>
    <t>Card Error</t>
  </si>
  <si>
    <t>Card Blocked</t>
  </si>
  <si>
    <t>Insert Card</t>
  </si>
  <si>
    <t>Cash Amount</t>
  </si>
  <si>
    <t>Online Amount</t>
  </si>
  <si>
    <t>PIN or Enter</t>
  </si>
  <si>
    <t>OK For PIN Bypass</t>
  </si>
  <si>
    <t>Incorrect PIN</t>
  </si>
  <si>
    <t>Last PIN Try</t>
  </si>
  <si>
    <t>Allow PIN Bypass Y/N?</t>
  </si>
  <si>
    <t>Please Wait</t>
  </si>
  <si>
    <t>Remove Card</t>
  </si>
  <si>
    <t>Card Removed</t>
  </si>
  <si>
    <t>Use Chip Reader</t>
  </si>
  <si>
    <t>Use Magstripe</t>
  </si>
  <si>
    <t>Date Not Set</t>
  </si>
  <si>
    <t>No Supported App</t>
  </si>
  <si>
    <t>App Not Supported</t>
  </si>
  <si>
    <t>Select Other App</t>
  </si>
  <si>
    <t>Trx Completed</t>
  </si>
  <si>
    <t>Processing Now</t>
  </si>
  <si>
    <t>Trx Terminated</t>
  </si>
  <si>
    <t>Error: Memory</t>
  </si>
  <si>
    <t>Error: Terminal Configuration</t>
  </si>
  <si>
    <t>Get Debug Data</t>
  </si>
  <si>
    <t>Swipe Card</t>
  </si>
  <si>
    <t>CAPK Checksum Error</t>
  </si>
  <si>
    <t>Transaction Completed</t>
  </si>
  <si>
    <t>Transaction Terminated</t>
  </si>
  <si>
    <t>Allow PIN Bypass Yes/No?</t>
  </si>
  <si>
    <t>No Supported Application</t>
  </si>
  <si>
    <t>Application Not Supported</t>
  </si>
  <si>
    <t>Select Other Application</t>
  </si>
  <si>
    <t>Description (No Spaces)</t>
  </si>
  <si>
    <t>Err: Memory</t>
  </si>
  <si>
    <t>Err: Term Config</t>
  </si>
  <si>
    <t>Unable Online Process</t>
  </si>
  <si>
    <t>Akzeptiert</t>
  </si>
  <si>
    <t>Abgelehnt</t>
  </si>
  <si>
    <t>ICC Abgelehnt</t>
  </si>
  <si>
    <t>Carte Fehler</t>
  </si>
  <si>
    <t>Carte Verstopft</t>
  </si>
  <si>
    <t>Einfügen Carte</t>
  </si>
  <si>
    <t>Barbetrag</t>
  </si>
  <si>
    <t>Online Betrag</t>
  </si>
  <si>
    <t>PIN Oder Geben Sie</t>
  </si>
  <si>
    <t>Falsch PIN</t>
  </si>
  <si>
    <t>Letzte PIN Versuchen</t>
  </si>
  <si>
    <t>Erlauben PIN Umweg Y/N?</t>
  </si>
  <si>
    <t>OK Für PIN Umweg</t>
  </si>
  <si>
    <t>Bitte Warten</t>
  </si>
  <si>
    <t>Entfernen Carte</t>
  </si>
  <si>
    <t>Karte Entfernt</t>
  </si>
  <si>
    <t>Verwenden Chip Leser</t>
  </si>
  <si>
    <t>Verwendung Magnetstreifen</t>
  </si>
  <si>
    <t>Datum Nicht Gesetzt</t>
  </si>
  <si>
    <t>Keine Unterstützten Anwendung</t>
  </si>
  <si>
    <t>Anwendung Nicht Unterstützt</t>
  </si>
  <si>
    <t>Wählen Sie Andere Anwendung</t>
  </si>
  <si>
    <t>Transaktion Abgeschlossen</t>
  </si>
  <si>
    <t>Verarbeitung Jetzt</t>
  </si>
  <si>
    <t>Transaktion Beendet</t>
  </si>
  <si>
    <t>Fehler: Speicher</t>
  </si>
  <si>
    <t>Fehler: Terminal Konfiguration</t>
  </si>
  <si>
    <t>Nicht Verarbeiten Online</t>
  </si>
  <si>
    <t>Holen Sie Sich Debug-Daten</t>
  </si>
  <si>
    <t>Swipe Carte</t>
  </si>
  <si>
    <t>CAPK Prüfsumme Fehler</t>
  </si>
  <si>
    <t>Owner</t>
  </si>
  <si>
    <t>Αποδεκτές</t>
  </si>
  <si>
    <t>Απόρριψη</t>
  </si>
  <si>
    <t>ICC Απόρριψη</t>
  </si>
  <si>
    <t>Σφάλμα κάρτας</t>
  </si>
  <si>
    <t>κάρτα Αποκλεισμένοι</t>
  </si>
  <si>
    <t>Τοποθετήστε την κάρτα</t>
  </si>
  <si>
    <t>ποσό σε μετρητά</t>
  </si>
  <si>
    <t>Συνδεδεμένοι Ποσό</t>
  </si>
  <si>
    <t>Πληκτρολογήστε το PIN ή</t>
  </si>
  <si>
    <t>OK Για Bypass PIN</t>
  </si>
  <si>
    <t>Λανθασμένη PIN</t>
  </si>
  <si>
    <t>Τελευταία PIN Δοκιμάστε</t>
  </si>
  <si>
    <t>Αφήστε PIN Παράκαμψη Ν/Ό</t>
  </si>
  <si>
    <t>Παρακαλώ Περιμένετε</t>
  </si>
  <si>
    <t>Αφαιρέστε την κάρτα</t>
  </si>
  <si>
    <t>Αφαιρέθηκε κάρτα</t>
  </si>
  <si>
    <t>Χρησιμοποιήστε τσιπ αναγνώστης</t>
  </si>
  <si>
    <t>Χρησιμοποιήστε τη μαγνητική ταινία</t>
  </si>
  <si>
    <t>Δεν έχει οριστεί ημερομηνία</t>
  </si>
  <si>
    <t>Δεν υποστηρίζονται Εφαρμογή</t>
  </si>
  <si>
    <t>Η εφαρμογή δεν υποστηρίζεται</t>
  </si>
  <si>
    <t>Επιλέξτε Άλλες Εφαρμογή</t>
  </si>
  <si>
    <t>συναλλαγή Ολοκληρώθηκε</t>
  </si>
  <si>
    <t>Επεξεργασία τώρα</t>
  </si>
  <si>
    <t>συναλλαγή Τερματίστηκε</t>
  </si>
  <si>
    <t>σφάλμα: μνήμη</t>
  </si>
  <si>
    <t>σφάλμα: τερματικό διαμόρφωση</t>
  </si>
  <si>
    <t>Ανίκανος να επεξεργαστούμε την on-line</t>
  </si>
  <si>
    <t>Πάρτε Debug Δεδομένων</t>
  </si>
  <si>
    <t>σουφρώνω κάρτα</t>
  </si>
  <si>
    <t>CAPK Checksum σφάλμα</t>
  </si>
  <si>
    <t>مقبول</t>
  </si>
  <si>
    <t>وامتنع</t>
  </si>
  <si>
    <t>Gwrthodwyd</t>
  </si>
  <si>
    <t>se redujo</t>
  </si>
  <si>
    <t>Refusée</t>
  </si>
  <si>
    <t>Diúltaithe</t>
  </si>
  <si>
    <t>נדחה</t>
  </si>
  <si>
    <t>अस्वीकृत</t>
  </si>
  <si>
    <t>減少した</t>
  </si>
  <si>
    <t>declinou</t>
  </si>
  <si>
    <t>Отказался</t>
  </si>
  <si>
    <t>Reddedildi</t>
  </si>
  <si>
    <t>拒絕</t>
  </si>
  <si>
    <t>谢绝</t>
  </si>
  <si>
    <t>接受</t>
  </si>
  <si>
    <t>kabul edilen</t>
  </si>
  <si>
    <t>принятый</t>
  </si>
  <si>
    <t>aceito</t>
  </si>
  <si>
    <t>受け入れ</t>
  </si>
  <si>
    <t>स्वीकार किया</t>
  </si>
  <si>
    <t>מקובל</t>
  </si>
  <si>
    <t>nGlactar</t>
  </si>
  <si>
    <t>acceptés</t>
  </si>
  <si>
    <t>aceptado</t>
  </si>
  <si>
    <t>dderbynnir</t>
  </si>
  <si>
    <t>ICC وامتنع</t>
  </si>
  <si>
    <t>ICC Gwrthodwyd</t>
  </si>
  <si>
    <t>ICC se redujo</t>
  </si>
  <si>
    <t>ICC Refusée</t>
  </si>
  <si>
    <t>ICC Diúltaithe</t>
  </si>
  <si>
    <t>ICC נדחה</t>
  </si>
  <si>
    <t>ICC अस्वीकृत</t>
  </si>
  <si>
    <t>ICC 減少した</t>
  </si>
  <si>
    <t>ICC declinou</t>
  </si>
  <si>
    <t>ICC Отказался</t>
  </si>
  <si>
    <t>ICC Reddedildi</t>
  </si>
  <si>
    <t>ICC 拒絕</t>
  </si>
  <si>
    <t>ICC 谢绝</t>
  </si>
  <si>
    <t>cerdyn Gwall</t>
  </si>
  <si>
    <t>بطاقة خطأ</t>
  </si>
  <si>
    <t>error de la tarjeta</t>
  </si>
  <si>
    <t>Erreur carte</t>
  </si>
  <si>
    <t>Earráid cárta</t>
  </si>
  <si>
    <t>כרטיס שגיאה</t>
  </si>
  <si>
    <t>कार्ड त्रुटि</t>
  </si>
  <si>
    <t>カードのエラー</t>
  </si>
  <si>
    <t>Erro de cartão</t>
  </si>
  <si>
    <t>Ошибка карты</t>
  </si>
  <si>
    <t>Kart Hatası</t>
  </si>
  <si>
    <t>卡錯誤</t>
  </si>
  <si>
    <t>卡错误</t>
  </si>
  <si>
    <t>卡封锁</t>
  </si>
  <si>
    <t>卡封鎖</t>
  </si>
  <si>
    <t>Kart Bloke</t>
  </si>
  <si>
    <t>карта Заблокированные</t>
  </si>
  <si>
    <t>cartão bloqueado</t>
  </si>
  <si>
    <t>カードがブロックされました</t>
  </si>
  <si>
    <t>कार्ड अवरुद्ध</t>
  </si>
  <si>
    <t>כרטיס חסומים</t>
  </si>
  <si>
    <t>cárta bac</t>
  </si>
  <si>
    <t>carte bloquée</t>
  </si>
  <si>
    <t>tarjeta bloqueada</t>
  </si>
  <si>
    <t>cerdyn wedi blocio</t>
  </si>
  <si>
    <t>بطاقة المحظورين</t>
  </si>
  <si>
    <t>إدراج بطاقة</t>
  </si>
  <si>
    <t>Cerdyn mewnosod</t>
  </si>
  <si>
    <t>Introduzca la tarjeta de</t>
  </si>
  <si>
    <t>Insérez la carte</t>
  </si>
  <si>
    <t>Ionsáigh Cárta</t>
  </si>
  <si>
    <t>הכנס את כרטיס</t>
  </si>
  <si>
    <t>कार्ड सम्मिलित करना</t>
  </si>
  <si>
    <t>カードを挿入</t>
  </si>
  <si>
    <t>Inserir cartão</t>
  </si>
  <si>
    <t>Вставьте карту</t>
  </si>
  <si>
    <t>Kart takın</t>
  </si>
  <si>
    <t>插入卡</t>
  </si>
  <si>
    <t>现金数额</t>
  </si>
  <si>
    <t>現金數額</t>
  </si>
  <si>
    <t>Nakit Miktarı</t>
  </si>
  <si>
    <t>сумма наличными</t>
  </si>
  <si>
    <t>Valor em dinheiro</t>
  </si>
  <si>
    <t>現金の額</t>
  </si>
  <si>
    <t>नकद राशि</t>
  </si>
  <si>
    <t>סכום המזומנים</t>
  </si>
  <si>
    <t>Méid Airgid</t>
  </si>
  <si>
    <t>Montant de trésorerie</t>
  </si>
  <si>
    <t>Cantidad efectivo</t>
  </si>
  <si>
    <t>Swm Arian</t>
  </si>
  <si>
    <t>المبلغ النقدي</t>
  </si>
  <si>
    <t>المبلغ الانترنت</t>
  </si>
  <si>
    <t>Swm Ar-lein</t>
  </si>
  <si>
    <t>Cantidad en línea</t>
  </si>
  <si>
    <t>Montant en ligne</t>
  </si>
  <si>
    <t>Méid Ar Líne</t>
  </si>
  <si>
    <t>מחוברים סכום</t>
  </si>
  <si>
    <t>ऑनलाइन राशि</t>
  </si>
  <si>
    <t>オンライン量</t>
  </si>
  <si>
    <t>Valor on-line</t>
  </si>
  <si>
    <t>Интернет сумма</t>
  </si>
  <si>
    <t>çevrimiçi Miktarı</t>
  </si>
  <si>
    <t>在線金額</t>
  </si>
  <si>
    <t>在线金额</t>
  </si>
  <si>
    <t>PIN或输入</t>
  </si>
  <si>
    <t>PIN或輸入</t>
  </si>
  <si>
    <t>PIN ya da girmek</t>
  </si>
  <si>
    <t>Введите PIN-код или</t>
  </si>
  <si>
    <t>PIN ou entrar</t>
  </si>
  <si>
    <t>PINまたは入力してください</t>
  </si>
  <si>
    <t>पिन या दर्ज करें</t>
  </si>
  <si>
    <t>PIN או הזן</t>
  </si>
  <si>
    <t>PIN Nó Iontráil</t>
  </si>
  <si>
    <t>PIN o entrar</t>
  </si>
  <si>
    <t>PIN neu Rhowch</t>
  </si>
  <si>
    <t>أو أدخل رقم PIN</t>
  </si>
  <si>
    <t>موافق على تجاوز PIN</t>
  </si>
  <si>
    <t>OK ar gyfer Ffordd Osgoi PIN</t>
  </si>
  <si>
    <t>Aceptar para la derivación PIN</t>
  </si>
  <si>
    <t>OK pour un pontage PIN</t>
  </si>
  <si>
    <t>OK Do Seachbhóthar PIN</t>
  </si>
  <si>
    <t>אישור עבור עקיפת PIN</t>
  </si>
  <si>
    <t>पिन बाईपास के लिए ठीक है</t>
  </si>
  <si>
    <t>PINバイパスのOK</t>
  </si>
  <si>
    <t>OK Para desvio PIN</t>
  </si>
  <si>
    <t>ОК Для PIN Обход</t>
  </si>
  <si>
    <t>OK PIN Baypas</t>
  </si>
  <si>
    <t>確定為 PIN繞道</t>
  </si>
  <si>
    <t>确定引脚的旁路</t>
  </si>
  <si>
    <t>不正确的PIN</t>
  </si>
  <si>
    <t>不正確的PIN</t>
  </si>
  <si>
    <t>Yanlış PIN</t>
  </si>
  <si>
    <t>Неверный PIN</t>
  </si>
  <si>
    <t>PIN incorreto</t>
  </si>
  <si>
    <t>間違ったPIN</t>
  </si>
  <si>
    <t>गलत पिन</t>
  </si>
  <si>
    <t>קוד PIN שגוי</t>
  </si>
  <si>
    <t>PIN mhícheart</t>
  </si>
  <si>
    <t>code PIN incorrect</t>
  </si>
  <si>
    <t>PIN incorrecto</t>
  </si>
  <si>
    <t>PIN ou Entrer</t>
  </si>
  <si>
    <t>PIN anghywir</t>
  </si>
  <si>
    <t>PIN غير صحيحة</t>
  </si>
  <si>
    <t>حاول PIN مشاركة</t>
  </si>
  <si>
    <t>PIN diwethaf Ceisiwch</t>
  </si>
  <si>
    <t>PIN último intento</t>
  </si>
  <si>
    <t>Dernière Essayez PIN</t>
  </si>
  <si>
    <t>PIN Last Bain triail as</t>
  </si>
  <si>
    <t>נסה PIN אחרונה</t>
  </si>
  <si>
    <t>अंतिम पिन की कोशिश करो</t>
  </si>
  <si>
    <t>試し続くPIN</t>
  </si>
  <si>
    <t>Последнее PIN Попробуйте</t>
  </si>
  <si>
    <t>PIN última tentativa</t>
  </si>
  <si>
    <t>Son PIN deneyin</t>
  </si>
  <si>
    <t>最後 PIN嘗試</t>
  </si>
  <si>
    <t>最后PIN尝试</t>
  </si>
  <si>
    <t>PIN تسمح تجاوز نعم لا؟</t>
  </si>
  <si>
    <t>Permitir PIN Bypass Sí/No?</t>
  </si>
  <si>
    <t>Caniatáu PIN Ffordd Osgoi Ydy/Dim?</t>
  </si>
  <si>
    <t>Autoriser PIN Bypass Oui/Non?</t>
  </si>
  <si>
    <t>Ceadaigh UAP Seachbhóthar Tá / Níl?</t>
  </si>
  <si>
    <t>אפשר PIN עקיפת כן / לא?</t>
  </si>
  <si>
    <t>बाईपास हाँ / नहीं पिन की अनुमति दें?</t>
  </si>
  <si>
    <t>はい/いいえバイパスのPINない許可する？</t>
  </si>
  <si>
    <t>Permitir PIN desvio Sim / Não?</t>
  </si>
  <si>
    <t>Разрешить PIN Обход Да / Нет?</t>
  </si>
  <si>
    <t>Evet / Hayır Bypass PIN izin verilsin mi?</t>
  </si>
  <si>
    <t>允許引腳旁路是/否？</t>
  </si>
  <si>
    <t>允许引脚的旁路是/否？</t>
  </si>
  <si>
    <t>请稍候</t>
  </si>
  <si>
    <t>請稍候</t>
  </si>
  <si>
    <t>Lütfen bekleyiniz</t>
  </si>
  <si>
    <t>Пожалуйста, подождите</t>
  </si>
  <si>
    <t>お待ちください</t>
  </si>
  <si>
    <t>कृपया प्रतीक्षा करें</t>
  </si>
  <si>
    <t>אנא המתן</t>
  </si>
  <si>
    <t>Fan le do thoil</t>
  </si>
  <si>
    <t>S'il vous plaît attendre</t>
  </si>
  <si>
    <t>por favor espere</t>
  </si>
  <si>
    <t>por favor esperar</t>
  </si>
  <si>
    <t>Arhoswch os gwelwch yn dda</t>
  </si>
  <si>
    <t>يرجى الانتظار</t>
  </si>
  <si>
    <t>إزالة بطاقة</t>
  </si>
  <si>
    <t>Dileu Cerdyn</t>
  </si>
  <si>
    <t>Retire la tarjeta</t>
  </si>
  <si>
    <t>Retirer la carte</t>
  </si>
  <si>
    <t>Bain Cárta</t>
  </si>
  <si>
    <t>הסרה של כרטיס</t>
  </si>
  <si>
    <t>कार्ड निकालें</t>
  </si>
  <si>
    <t>カードを取り外します</t>
  </si>
  <si>
    <t>remover cartão</t>
  </si>
  <si>
    <t>Удалить карту</t>
  </si>
  <si>
    <t>Kart çıkarın</t>
  </si>
  <si>
    <t>取出存儲卡</t>
  </si>
  <si>
    <t>取出存储卡</t>
  </si>
  <si>
    <t>卡中删除</t>
  </si>
  <si>
    <t>卡刪除</t>
  </si>
  <si>
    <t>Kart kaldırıldı</t>
  </si>
  <si>
    <t>карта Удален</t>
  </si>
  <si>
    <t>Removido cartão</t>
  </si>
  <si>
    <t>カードは削除されました</t>
  </si>
  <si>
    <t>कार्ड हटाया</t>
  </si>
  <si>
    <t>כרטיס הוסר</t>
  </si>
  <si>
    <t>cárta Bainte</t>
  </si>
  <si>
    <t>carte retirée</t>
  </si>
  <si>
    <t>carta removida</t>
  </si>
  <si>
    <t>cerdyn Symudwyd</t>
  </si>
  <si>
    <t>بطاقة إزالتها</t>
  </si>
  <si>
    <t>استخدام القارئ تشيب</t>
  </si>
  <si>
    <t>Defnyddiwch Darllenydd Sglodion</t>
  </si>
  <si>
    <t>Use lector de chips</t>
  </si>
  <si>
    <t>Utilisez lecteur de puce</t>
  </si>
  <si>
    <t>Úsáid Reader Chip</t>
  </si>
  <si>
    <t>להשתמש שבב קורא</t>
  </si>
  <si>
    <t>चिप रीडर का प्रयोग करें</t>
  </si>
  <si>
    <t>チップリーダーを使用</t>
  </si>
  <si>
    <t>uso Chip leitor</t>
  </si>
  <si>
    <t>Используйте Чип чтения</t>
  </si>
  <si>
    <t>kullanım yonga okuyucu</t>
  </si>
  <si>
    <t>使用芯片讀取器</t>
  </si>
  <si>
    <t>使用芯片读取器</t>
  </si>
  <si>
    <t>使用磁卡</t>
  </si>
  <si>
    <t>使用磁條</t>
  </si>
  <si>
    <t>Manyetik Şerit kullanın</t>
  </si>
  <si>
    <t>Использование магнитной полосой</t>
  </si>
  <si>
    <t>Use tarja magnética</t>
  </si>
  <si>
    <t>磁気ストライプを使用してください</t>
  </si>
  <si>
    <t>चुंबकीय पट्टी का उपयोग करें</t>
  </si>
  <si>
    <t>Úsáid Stripe maighnéadach</t>
  </si>
  <si>
    <t>Utilisez bande magnétique</t>
  </si>
  <si>
    <t>El uso de banda magnética</t>
  </si>
  <si>
    <t>Defnyddiwch streip Magnetig</t>
  </si>
  <si>
    <t>استخدام الشريط المغناطيسي</t>
  </si>
  <si>
    <t>بيانات غير محدد</t>
  </si>
  <si>
    <t>Data Heb ei</t>
  </si>
  <si>
    <t>Los datos no Set</t>
  </si>
  <si>
    <t>Données non défini</t>
  </si>
  <si>
    <t>Sonraí Gan Socraigh</t>
  </si>
  <si>
    <t>נתונים לא הוגדר</t>
  </si>
  <si>
    <t>השתמש פס מגנטי</t>
  </si>
  <si>
    <t>डेटा सेट नहीं</t>
  </si>
  <si>
    <t>データない設定さ</t>
  </si>
  <si>
    <t>Dados não informado</t>
  </si>
  <si>
    <t>Данные не указан</t>
  </si>
  <si>
    <t>veri değil set</t>
  </si>
  <si>
    <t>數據未設置</t>
  </si>
  <si>
    <t>没有设置的数据</t>
  </si>
  <si>
    <t>不支持的应用程序</t>
  </si>
  <si>
    <t>不支持的應用</t>
  </si>
  <si>
    <t>Hayır Desteklenen Uygulama</t>
  </si>
  <si>
    <t>Нет Поддерживаемые приложения</t>
  </si>
  <si>
    <t>Não Aplicação suportados</t>
  </si>
  <si>
    <t>いいえサポートされているアプリケーションなし</t>
  </si>
  <si>
    <t>नहीं समर्थित अनुप्रयोग</t>
  </si>
  <si>
    <t>יישומים לא נתמכים</t>
  </si>
  <si>
    <t>Uimhir an iarratais Tacaithe</t>
  </si>
  <si>
    <t>Aucune application pris en charge</t>
  </si>
  <si>
    <t>No hay aplicaciones soportados</t>
  </si>
  <si>
    <t>Rhif Cais â Chymorth</t>
  </si>
  <si>
    <t>لم التطبيق المعتمدة</t>
  </si>
  <si>
    <t>التطبيق غير معتمد</t>
  </si>
  <si>
    <t>Cais Heb â Chymorth</t>
  </si>
  <si>
    <t>No se admite la aplicación</t>
  </si>
  <si>
    <t>Application non supportée</t>
  </si>
  <si>
    <t>Feidhmchlár Gan Tacaithe</t>
  </si>
  <si>
    <t>समर्थित नहीं अनुप्रयोग</t>
  </si>
  <si>
    <t>アプリケーションサポートされていない</t>
  </si>
  <si>
    <t>Aplicação não suportada</t>
  </si>
  <si>
    <t>Приложение не поддерживается</t>
  </si>
  <si>
    <t>Uygulama Desteklenen</t>
  </si>
  <si>
    <t>應用程序不支持</t>
  </si>
  <si>
    <t>应用程序不支持</t>
  </si>
  <si>
    <t>选择其他应用程序</t>
  </si>
  <si>
    <t>選擇其他的應用</t>
  </si>
  <si>
    <t>Diğer Uygulamaları</t>
  </si>
  <si>
    <t>Выберите другое приложение</t>
  </si>
  <si>
    <t>Selecione outro aplicativo</t>
  </si>
  <si>
    <t>その他のアプリケーションを選択します</t>
  </si>
  <si>
    <t>अन्य अनुप्रयोग का चयन करें</t>
  </si>
  <si>
    <t>בחר יישום אחר</t>
  </si>
  <si>
    <t>Roghnaigh Feidhmchlár Eile</t>
  </si>
  <si>
    <t>Sélectionnez Application Autres</t>
  </si>
  <si>
    <t>Seleccione la aplicación de otros</t>
  </si>
  <si>
    <t>Dewiswch Cais Eraill</t>
  </si>
  <si>
    <t>حدد التطبيق الآخر</t>
  </si>
  <si>
    <t>تمت الصفقة</t>
  </si>
  <si>
    <t>trafodiad cwblhau</t>
  </si>
  <si>
    <t>transacción completada</t>
  </si>
  <si>
    <t>Transaction Terminé</t>
  </si>
  <si>
    <t>idirbheart Críochnaithe</t>
  </si>
  <si>
    <t>העסקה הושלמה</t>
  </si>
  <si>
    <t>लेन - देन पूर्ण</t>
  </si>
  <si>
    <t>トランザクションが完了</t>
  </si>
  <si>
    <t>transação concluída</t>
  </si>
  <si>
    <t>транзакция завершена</t>
  </si>
  <si>
    <t>İşlem Tamamlandı</t>
  </si>
  <si>
    <t>交易完成</t>
  </si>
  <si>
    <t>加工现在</t>
  </si>
  <si>
    <t>現在加工</t>
  </si>
  <si>
    <t>Şimdi İşleme</t>
  </si>
  <si>
    <t>Обработка Теперь</t>
  </si>
  <si>
    <t>Agora o processamento</t>
  </si>
  <si>
    <t>今すぐ処理</t>
  </si>
  <si>
    <t>अब प्रसंस्करण</t>
  </si>
  <si>
    <t>עיבוד עכשיו</t>
  </si>
  <si>
    <t>próiseáil Anois</t>
  </si>
  <si>
    <t>traitement maintenant</t>
  </si>
  <si>
    <t>Ahora el procesamiento</t>
  </si>
  <si>
    <t>prosesu Nawr</t>
  </si>
  <si>
    <t>تجهيز الآن</t>
  </si>
  <si>
    <t>إنهاء المعاملات</t>
  </si>
  <si>
    <t>trafodiad terfynu</t>
  </si>
  <si>
    <t>Terminada la transacción</t>
  </si>
  <si>
    <t>idirbheart deireadh</t>
  </si>
  <si>
    <t>עסקה הופסק</t>
  </si>
  <si>
    <t>लेन - देन समाप्त</t>
  </si>
  <si>
    <t>トランザクションが終了</t>
  </si>
  <si>
    <t>transação Terminado</t>
  </si>
  <si>
    <t>Прекращено транзакций</t>
  </si>
  <si>
    <t>İşlem Terminated</t>
  </si>
  <si>
    <t>交易終止</t>
  </si>
  <si>
    <t>交易终止</t>
  </si>
  <si>
    <t>الخطأ : الذاكرة</t>
  </si>
  <si>
    <t>Gwall: Cof</t>
  </si>
  <si>
    <t>Error: Memoria</t>
  </si>
  <si>
    <t>Erreur: Mémoire</t>
  </si>
  <si>
    <t>Earráid: Cuimhne</t>
  </si>
  <si>
    <t>שגיאה: זיכרון</t>
  </si>
  <si>
    <t>त्रुटि: मेमोरी</t>
  </si>
  <si>
    <t>エラー：メモリ</t>
  </si>
  <si>
    <t>Erro: Memória</t>
  </si>
  <si>
    <t>Ошибка: Память</t>
  </si>
  <si>
    <t>Hata: Bellek</t>
  </si>
  <si>
    <t>錯誤：內存</t>
  </si>
  <si>
    <t>错误：内存</t>
  </si>
  <si>
    <t>错误：终端配置</t>
  </si>
  <si>
    <t>錯誤：終端配置</t>
  </si>
  <si>
    <t>Hata: Terminal Yapılandırması</t>
  </si>
  <si>
    <t>Ошибка: Терминал Конфигурация</t>
  </si>
  <si>
    <t>Erro: Configuração Terminal</t>
  </si>
  <si>
    <t>エラー：ターミナルの設定</t>
  </si>
  <si>
    <t>त्रुटि: टर्मिनल विन्यास</t>
  </si>
  <si>
    <t>שגיאה: מסוף תצורת</t>
  </si>
  <si>
    <t>Earráid: Cumraíocht Críochfort</t>
  </si>
  <si>
    <t>Erreur: Terminal de configuration</t>
  </si>
  <si>
    <t>Error: Configuración de Terminal</t>
  </si>
  <si>
    <t>Gwall: Configuration Terminal</t>
  </si>
  <si>
    <t>خطأ : تكوين المحطة الطرفية</t>
  </si>
  <si>
    <t>قادر على معالجة عبر الإنترنت</t>
  </si>
  <si>
    <t>Unable To Process Online</t>
  </si>
  <si>
    <t>Methu I Broses ar-lein</t>
  </si>
  <si>
    <t>No puede procesar en línea</t>
  </si>
  <si>
    <t>L'impossibilité de traiter en ligne</t>
  </si>
  <si>
    <t>Níorbh fhéidir Ar Líne Le Próiseas</t>
  </si>
  <si>
    <t>לא ניתן לעבד מחובר</t>
  </si>
  <si>
    <t>ऑनलाइन प्रोसेस करने में असमर्थ</t>
  </si>
  <si>
    <t>オンラインを処理することができません</t>
  </si>
  <si>
    <t>Não é possível processar on-line</t>
  </si>
  <si>
    <t>Не удается обработать Интернет</t>
  </si>
  <si>
    <t>Online İşlemler</t>
  </si>
  <si>
    <t>無法處理網絡</t>
  </si>
  <si>
    <t>无法处理在线</t>
  </si>
  <si>
    <t>获取调试数据</t>
  </si>
  <si>
    <t>獲取調試數據</t>
  </si>
  <si>
    <t>Debug Veri alın</t>
  </si>
  <si>
    <t>получать отлаживать данные</t>
  </si>
  <si>
    <t>obter depurar dados</t>
  </si>
  <si>
    <t>デバッグデータを取得する</t>
  </si>
  <si>
    <t>डीबग डेटा</t>
  </si>
  <si>
    <t>קבלת נתונים Debug</t>
  </si>
  <si>
    <t>Faigh Sonraí Dífhabhtaigh</t>
  </si>
  <si>
    <t>Obtenir des données de débogage</t>
  </si>
  <si>
    <t>Obtener datos de depuración</t>
  </si>
  <si>
    <t>Cael Data Dadnamu</t>
  </si>
  <si>
    <t>الحصول على بيانات التصحيح</t>
  </si>
  <si>
    <t>بطاقة ممغنطة</t>
  </si>
  <si>
    <t>Cerdyn swipe</t>
  </si>
  <si>
    <t>tarjeta magnética</t>
  </si>
  <si>
    <t>balayage de carte</t>
  </si>
  <si>
    <t>swipe Cárta</t>
  </si>
  <si>
    <t>תקחי כרטיס</t>
  </si>
  <si>
    <t>ज़ोर से मारना कार्ड</t>
  </si>
  <si>
    <t>カードを通す</t>
  </si>
  <si>
    <t>swipe cartão</t>
  </si>
  <si>
    <t>Размах карты</t>
  </si>
  <si>
    <t>Manyetik Kart</t>
  </si>
  <si>
    <t>刷卡</t>
  </si>
  <si>
    <t>校验和错误</t>
  </si>
  <si>
    <t>校驗和錯誤</t>
  </si>
  <si>
    <t>Checksum Hata</t>
  </si>
  <si>
    <t>Ошибка контрольной суммы</t>
  </si>
  <si>
    <t>Erro de Checksum</t>
  </si>
  <si>
    <t>チェックサムエラー</t>
  </si>
  <si>
    <t>checksum त्रुटि</t>
  </si>
  <si>
    <t>בדוק שגיאה סכום</t>
  </si>
  <si>
    <t>sheiceála Earráid</t>
  </si>
  <si>
    <t>Vérifiez erreur de somme</t>
  </si>
  <si>
    <t>Error de suma</t>
  </si>
  <si>
    <t>Gwirio swm Gwall</t>
  </si>
  <si>
    <t>الاختباري خطأ</t>
  </si>
  <si>
    <t>Languages</t>
  </si>
  <si>
    <t>Complete?</t>
  </si>
  <si>
    <t>Include?</t>
  </si>
  <si>
    <t>Name</t>
  </si>
  <si>
    <t>Contents</t>
  </si>
  <si>
    <t>string_&lt;LANGUAGE&gt;.inc</t>
  </si>
  <si>
    <t>LocalisedString.h</t>
  </si>
  <si>
    <t>strings.inc</t>
  </si>
  <si>
    <t xml:space="preserve">/**
 * LocalisedString.h - Auto-Generated by Language Spreadsheet
 *
 * String numbers for all languages
 *
 * DO NOT EDIT - Use &lt;WORKBOOKNAME&gt; Workbook to generate this file
 *
 * DO NOT PUT UNDER VERSION CONTROL
 *
 * This file generated: &lt;DATE&gt; &lt;TIME&gt;
 *
 * (C) Delaney &amp; Morgan Computing (www.delaneymorgan.com.au)
 */
#ifndef LocalisedString__h
#define LocalisedString__h
typedef enum {
&lt;TAB&gt;kNoLocalisedString,
&lt;STRINGNUMBERS&gt;
&lt;TAB&gt;kNumLocalisedString
} TLocalisedString;
#define ValidLocalisedString(s) (((s)&gt;kNoLocalisedString)&amp;&amp;((s)&lt;kNumLocalisedString))
#endif // LocalisedString__h
</t>
  </si>
  <si>
    <t xml:space="preserve">/**
 * string_&lt;LANGUAGECODE&gt;.inc - Auto-Generated by Language Spreadsheet
 *
 * localised strings for language "&lt;LANGUAGECODE&gt;" - &lt;LANGUAGENAME&gt;
 *
 * DO NOT EDIT - Use &lt;WORKBOOKNAME&gt; Workbook to generate this file
 *
 * DO NOT PUT UNDER VERSION CONTROL
 *
 * This file generated: &lt;DATE&gt; &lt;TIME&gt;
 *
 * (C) Delaney &amp; Morgan Computing (www.delaneymorgan.com.au)
 */
#include "LocalisedStrings.h"
// ============================================================================
/**
 * individual strings
 */
&lt;STRING&gt;
// ============================================================================
/**
 * string table
 */
static const char* kStrings_&lt;LANGUAGECODE&gt;[kNumStringNo] = {
&lt;TAB&gt;NULL,
&lt;STRINGLIST&gt;
};
</t>
  </si>
  <si>
    <t xml:space="preserve">/**
 * Strings.inc - auto generated by Terminal Language Spreadsheet
 *
 * Gathers together language-specific string tables into a single table
 *
 * DO NOT EDIT - Use &lt;WORKBOOKNAME&gt; Workbook to generate this file
 *
 * DO NOT PUT UNDER VERSION CONTROL
 *
 * This file generated: &lt;DATE&gt; &lt;TIME&gt;
 *
 * (C) Delaney &amp; Morgan Computing (www.delaneymorgan.com.au)
 */
#include "SystemLanguage.h"
#include "LocalisedString.h"
// ============================================================================
&lt;INCLUDED_LANGUAGES&gt;
// ============================================================================
/**
 * The list of included string tables.
 * Non-included languages have a NULL place-holder.
 */
static const char** kLanguageStrings[kNumSystemLanguage] = {
&lt;TAB&gt;NULL,
&lt;STRING_TABLES&gt;
};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</si>
</sst>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rgb="FF333333"/>
      <name val="Cambria"/>
      <family val="1"/>
      <scheme val="major"/>
    </font>
    <font>
      <b/>
      <sz val="11"/>
      <color theme="1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quotePrefix="1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8"/>
  <sheetViews>
    <sheetView workbookViewId="0">
      <selection activeCell="I10" sqref="I10"/>
    </sheetView>
  </sheetViews>
  <sheetFormatPr baseColWidth="10" defaultColWidth="8.83203125" defaultRowHeight="15" x14ac:dyDescent="0.2"/>
  <cols>
    <col min="1" max="1" width="10.1640625" bestFit="1" customWidth="1"/>
    <col min="2" max="2" width="10.6640625" bestFit="1" customWidth="1"/>
    <col min="7" max="7" width="10.6640625" bestFit="1" customWidth="1"/>
  </cols>
  <sheetData>
    <row r="1" spans="1:15" s="2" customFormat="1" x14ac:dyDescent="0.2">
      <c r="A1" s="2" t="s">
        <v>540</v>
      </c>
      <c r="B1" s="2" t="s">
        <v>541</v>
      </c>
      <c r="C1" s="2" t="s">
        <v>542</v>
      </c>
    </row>
    <row r="2" spans="1:15" x14ac:dyDescent="0.2">
      <c r="A2" t="s">
        <v>14</v>
      </c>
    </row>
    <row r="3" spans="1:15" x14ac:dyDescent="0.2">
      <c r="A3" t="s">
        <v>11</v>
      </c>
    </row>
    <row r="4" spans="1:15" x14ac:dyDescent="0.2">
      <c r="A4" t="s">
        <v>36</v>
      </c>
    </row>
    <row r="5" spans="1:15" x14ac:dyDescent="0.2">
      <c r="A5" t="s">
        <v>10</v>
      </c>
    </row>
    <row r="6" spans="1:15" x14ac:dyDescent="0.2">
      <c r="A6" t="s">
        <v>20</v>
      </c>
    </row>
    <row r="7" spans="1:15" x14ac:dyDescent="0.2">
      <c r="A7" t="s">
        <v>9</v>
      </c>
    </row>
    <row r="8" spans="1:15" x14ac:dyDescent="0.2">
      <c r="A8" t="s">
        <v>30</v>
      </c>
      <c r="B8" s="9"/>
      <c r="C8" s="9"/>
      <c r="D8" s="9"/>
      <c r="E8" s="9"/>
      <c r="F8" s="9"/>
      <c r="G8" s="9"/>
      <c r="H8" s="8"/>
      <c r="I8" s="9"/>
      <c r="J8" s="9"/>
      <c r="K8" s="9"/>
      <c r="L8" s="9"/>
      <c r="M8" s="9"/>
      <c r="N8" s="9"/>
      <c r="O8" s="9"/>
    </row>
    <row r="9" spans="1:15" x14ac:dyDescent="0.2">
      <c r="A9" t="s">
        <v>12</v>
      </c>
    </row>
    <row r="10" spans="1:15" x14ac:dyDescent="0.2">
      <c r="A10" t="s">
        <v>26</v>
      </c>
      <c r="G10" s="19"/>
    </row>
    <row r="11" spans="1:15" x14ac:dyDescent="0.2">
      <c r="A11" t="s">
        <v>13</v>
      </c>
    </row>
    <row r="12" spans="1:15" x14ac:dyDescent="0.2">
      <c r="A12" t="s">
        <v>32</v>
      </c>
    </row>
    <row r="13" spans="1:15" x14ac:dyDescent="0.2">
      <c r="A13" t="s">
        <v>15</v>
      </c>
    </row>
    <row r="14" spans="1:15" x14ac:dyDescent="0.2">
      <c r="A14" t="s">
        <v>28</v>
      </c>
    </row>
    <row r="15" spans="1:15" x14ac:dyDescent="0.2">
      <c r="A15" t="s">
        <v>19</v>
      </c>
    </row>
    <row r="16" spans="1:15" x14ac:dyDescent="0.2">
      <c r="A16" t="s">
        <v>34</v>
      </c>
    </row>
    <row r="17" spans="1:1" x14ac:dyDescent="0.2">
      <c r="A17" t="s">
        <v>17</v>
      </c>
    </row>
    <row r="18" spans="1:1" x14ac:dyDescent="0.2">
      <c r="A18" t="s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34"/>
  <sheetViews>
    <sheetView zoomScaleNormal="100" workbookViewId="0">
      <pane xSplit="5" ySplit="3" topLeftCell="F4" activePane="bottomRight" state="frozen"/>
      <selection pane="topRight" activeCell="C1" sqref="C1"/>
      <selection pane="bottomLeft" activeCell="A4" sqref="A4"/>
      <selection pane="bottomRight" activeCell="F4" sqref="F4"/>
    </sheetView>
  </sheetViews>
  <sheetFormatPr baseColWidth="10" defaultColWidth="8.83203125" defaultRowHeight="15" x14ac:dyDescent="0.2"/>
  <cols>
    <col min="1" max="1" width="44" style="1" bestFit="1" customWidth="1"/>
    <col min="2" max="2" width="12.6640625" style="14" bestFit="1" customWidth="1"/>
    <col min="3" max="3" width="14.33203125" bestFit="1" customWidth="1"/>
    <col min="4" max="4" width="28.5" hidden="1" customWidth="1"/>
    <col min="5" max="5" width="28.5" bestFit="1" customWidth="1"/>
    <col min="6" max="6" width="22.5" style="1" bestFit="1" customWidth="1"/>
    <col min="7" max="7" width="35" bestFit="1" customWidth="1"/>
    <col min="8" max="8" width="7.6640625" bestFit="1" customWidth="1"/>
    <col min="9" max="9" width="30.6640625" bestFit="1" customWidth="1"/>
    <col min="10" max="10" width="39.1640625" bestFit="1" customWidth="1"/>
    <col min="11" max="11" width="22.33203125" bestFit="1" customWidth="1"/>
    <col min="12" max="12" width="28.83203125" bestFit="1" customWidth="1"/>
    <col min="13" max="13" width="29.83203125" bestFit="1" customWidth="1"/>
    <col min="14" max="14" width="38.33203125" bestFit="1" customWidth="1"/>
    <col min="15" max="15" width="26.83203125" style="1" bestFit="1" customWidth="1"/>
    <col min="16" max="16" width="36.1640625" bestFit="1" customWidth="1"/>
    <col min="17" max="17" width="52.6640625" bestFit="1" customWidth="1"/>
    <col min="18" max="18" width="30.33203125" bestFit="1" customWidth="1"/>
    <col min="19" max="19" width="36.6640625" bestFit="1" customWidth="1"/>
    <col min="20" max="20" width="38" bestFit="1" customWidth="1"/>
    <col min="21" max="21" width="22.5" bestFit="1" customWidth="1"/>
    <col min="22" max="22" width="24.33203125" bestFit="1" customWidth="1"/>
  </cols>
  <sheetData>
    <row r="1" spans="1:22" x14ac:dyDescent="0.2">
      <c r="A1" s="5"/>
      <c r="B1" s="13"/>
      <c r="C1" s="6"/>
      <c r="D1" s="6"/>
      <c r="E1" s="6"/>
      <c r="F1" s="5"/>
      <c r="G1" s="7"/>
      <c r="H1" s="7"/>
      <c r="I1" s="7"/>
      <c r="J1" s="7"/>
      <c r="K1" s="6"/>
      <c r="L1" s="6" t="s">
        <v>8</v>
      </c>
      <c r="M1" s="7"/>
      <c r="N1" s="7"/>
      <c r="O1" s="5"/>
      <c r="P1" s="7"/>
      <c r="Q1" s="7"/>
      <c r="R1" s="7"/>
      <c r="S1" s="7"/>
      <c r="T1" s="7"/>
      <c r="U1" s="7"/>
      <c r="V1" s="7"/>
    </row>
    <row r="2" spans="1:22" s="2" customFormat="1" x14ac:dyDescent="0.2">
      <c r="A2" s="8"/>
      <c r="B2" s="13"/>
      <c r="C2" s="9"/>
      <c r="D2" s="9"/>
      <c r="E2" s="9"/>
      <c r="F2" s="8" t="s">
        <v>14</v>
      </c>
      <c r="G2" s="9" t="s">
        <v>11</v>
      </c>
      <c r="H2" s="9" t="s">
        <v>36</v>
      </c>
      <c r="I2" s="9" t="s">
        <v>10</v>
      </c>
      <c r="J2" s="9" t="s">
        <v>20</v>
      </c>
      <c r="K2" s="9" t="s">
        <v>9</v>
      </c>
      <c r="L2" s="9" t="s">
        <v>30</v>
      </c>
      <c r="M2" s="9" t="s">
        <v>12</v>
      </c>
      <c r="N2" s="9" t="s">
        <v>26</v>
      </c>
      <c r="O2" s="8" t="s">
        <v>13</v>
      </c>
      <c r="P2" s="9" t="s">
        <v>32</v>
      </c>
      <c r="Q2" s="9" t="s">
        <v>15</v>
      </c>
      <c r="R2" s="9" t="s">
        <v>28</v>
      </c>
      <c r="S2" s="9" t="s">
        <v>19</v>
      </c>
      <c r="T2" s="9" t="s">
        <v>34</v>
      </c>
      <c r="U2" s="9" t="s">
        <v>17</v>
      </c>
      <c r="V2" s="9" t="s">
        <v>16</v>
      </c>
    </row>
    <row r="3" spans="1:22" s="11" customFormat="1" x14ac:dyDescent="0.2">
      <c r="A3" s="8" t="s">
        <v>4</v>
      </c>
      <c r="B3" s="13" t="s">
        <v>110</v>
      </c>
      <c r="C3" s="8" t="s">
        <v>37</v>
      </c>
      <c r="D3" s="9" t="s">
        <v>75</v>
      </c>
      <c r="E3" s="9" t="s">
        <v>18</v>
      </c>
      <c r="F3" s="8" t="s">
        <v>5</v>
      </c>
      <c r="G3" s="10" t="s">
        <v>7</v>
      </c>
      <c r="H3" s="10" t="s">
        <v>25</v>
      </c>
      <c r="I3" s="11" t="s">
        <v>1</v>
      </c>
      <c r="J3" s="11" t="s">
        <v>21</v>
      </c>
      <c r="K3" s="10" t="s">
        <v>0</v>
      </c>
      <c r="L3" s="10" t="s">
        <v>31</v>
      </c>
      <c r="M3" s="10" t="s">
        <v>2</v>
      </c>
      <c r="N3" s="10" t="s">
        <v>27</v>
      </c>
      <c r="O3" s="8" t="s">
        <v>6</v>
      </c>
      <c r="P3" s="10" t="s">
        <v>33</v>
      </c>
      <c r="Q3" s="10" t="s">
        <v>3</v>
      </c>
      <c r="R3" s="10" t="s">
        <v>29</v>
      </c>
      <c r="S3" s="10" t="s">
        <v>22</v>
      </c>
      <c r="T3" s="10" t="s">
        <v>35</v>
      </c>
      <c r="U3" s="10" t="s">
        <v>24</v>
      </c>
      <c r="V3" s="10" t="s">
        <v>23</v>
      </c>
    </row>
    <row r="4" spans="1:22" x14ac:dyDescent="0.2">
      <c r="A4" s="5" t="str">
        <f t="shared" ref="A4:A34" si="0">CONCATENATE("k",D4,"_",B4,"_StringNo")</f>
        <v>kAccepted_EMV_StringNo</v>
      </c>
      <c r="B4" s="14" t="s">
        <v>38</v>
      </c>
      <c r="D4" s="3" t="str">
        <f>SUBSTITUTE(SUBSTITUTE( SUBSTITUTE( SUBSTITUTE(E4," ","_"),"/","_"),"?",""),":","")</f>
        <v>Accepted</v>
      </c>
      <c r="E4" s="3" t="s">
        <v>39</v>
      </c>
      <c r="F4" s="5" t="s">
        <v>142</v>
      </c>
      <c r="G4" s="3" t="s">
        <v>166</v>
      </c>
      <c r="H4" s="12">
        <v>1</v>
      </c>
      <c r="I4" s="4" t="s">
        <v>79</v>
      </c>
      <c r="J4" s="4" t="s">
        <v>111</v>
      </c>
      <c r="K4" s="3" t="s">
        <v>39</v>
      </c>
      <c r="L4" s="3" t="s">
        <v>165</v>
      </c>
      <c r="M4" s="3" t="s">
        <v>164</v>
      </c>
      <c r="N4" s="4" t="s">
        <v>163</v>
      </c>
      <c r="O4" s="5" t="s">
        <v>162</v>
      </c>
      <c r="P4" s="4" t="s">
        <v>161</v>
      </c>
      <c r="Q4" s="4" t="s">
        <v>160</v>
      </c>
      <c r="R4" s="4" t="s">
        <v>159</v>
      </c>
      <c r="S4" s="3" t="s">
        <v>158</v>
      </c>
      <c r="T4" s="3" t="s">
        <v>157</v>
      </c>
      <c r="U4" s="3" t="s">
        <v>156</v>
      </c>
      <c r="V4" s="4" t="s">
        <v>156</v>
      </c>
    </row>
    <row r="5" spans="1:22" x14ac:dyDescent="0.2">
      <c r="A5" s="5" t="str">
        <f t="shared" si="0"/>
        <v>kDeclined_EMV_StringNo</v>
      </c>
      <c r="B5" s="14" t="s">
        <v>38</v>
      </c>
      <c r="D5" s="3" t="str">
        <f t="shared" ref="D5:D34" si="1">SUBSTITUTE(SUBSTITUTE( SUBSTITUTE( SUBSTITUTE(E5," ","_"),"/","_"),"?",""),":","")</f>
        <v>Declined</v>
      </c>
      <c r="E5" s="3" t="s">
        <v>40</v>
      </c>
      <c r="F5" s="5" t="s">
        <v>143</v>
      </c>
      <c r="G5" s="4" t="s">
        <v>144</v>
      </c>
      <c r="H5" s="12">
        <f t="shared" ref="H5:H34" si="2">H4+1</f>
        <v>2</v>
      </c>
      <c r="I5" s="4" t="s">
        <v>80</v>
      </c>
      <c r="J5" s="3" t="s">
        <v>112</v>
      </c>
      <c r="K5" s="3" t="s">
        <v>40</v>
      </c>
      <c r="L5" s="3" t="s">
        <v>145</v>
      </c>
      <c r="M5" s="3" t="s">
        <v>146</v>
      </c>
      <c r="N5" s="3" t="s">
        <v>147</v>
      </c>
      <c r="O5" s="4" t="s">
        <v>148</v>
      </c>
      <c r="P5" s="3" t="s">
        <v>149</v>
      </c>
      <c r="Q5" s="4" t="s">
        <v>150</v>
      </c>
      <c r="R5" s="3" t="s">
        <v>151</v>
      </c>
      <c r="S5" s="4" t="s">
        <v>152</v>
      </c>
      <c r="T5" s="3" t="s">
        <v>153</v>
      </c>
      <c r="U5" s="3" t="s">
        <v>155</v>
      </c>
      <c r="V5" s="4" t="s">
        <v>154</v>
      </c>
    </row>
    <row r="6" spans="1:22" x14ac:dyDescent="0.2">
      <c r="A6" s="5" t="str">
        <f t="shared" si="0"/>
        <v>kICC_Declined_EMV_StringNo</v>
      </c>
      <c r="B6" s="14" t="s">
        <v>38</v>
      </c>
      <c r="D6" s="3" t="str">
        <f t="shared" si="1"/>
        <v>ICC_Declined</v>
      </c>
      <c r="E6" s="3" t="s">
        <v>41</v>
      </c>
      <c r="F6" s="5" t="s">
        <v>167</v>
      </c>
      <c r="G6" s="4" t="s">
        <v>168</v>
      </c>
      <c r="H6" s="12">
        <f t="shared" si="2"/>
        <v>3</v>
      </c>
      <c r="I6" s="4" t="s">
        <v>81</v>
      </c>
      <c r="J6" s="3" t="s">
        <v>113</v>
      </c>
      <c r="K6" s="3" t="s">
        <v>41</v>
      </c>
      <c r="L6" s="3" t="s">
        <v>169</v>
      </c>
      <c r="M6" s="3" t="s">
        <v>170</v>
      </c>
      <c r="N6" s="3" t="s">
        <v>171</v>
      </c>
      <c r="O6" s="4" t="s">
        <v>172</v>
      </c>
      <c r="P6" s="3" t="s">
        <v>173</v>
      </c>
      <c r="Q6" s="4" t="s">
        <v>174</v>
      </c>
      <c r="R6" s="3" t="s">
        <v>175</v>
      </c>
      <c r="S6" s="4" t="s">
        <v>176</v>
      </c>
      <c r="T6" s="3" t="s">
        <v>177</v>
      </c>
      <c r="U6" s="3" t="s">
        <v>179</v>
      </c>
      <c r="V6" s="4" t="s">
        <v>178</v>
      </c>
    </row>
    <row r="7" spans="1:22" x14ac:dyDescent="0.2">
      <c r="A7" s="5" t="str">
        <f t="shared" si="0"/>
        <v>kCard_Error_EMV_StringNo</v>
      </c>
      <c r="B7" s="14" t="s">
        <v>38</v>
      </c>
      <c r="D7" s="3" t="str">
        <f t="shared" si="1"/>
        <v>Card_Error</v>
      </c>
      <c r="E7" s="3" t="s">
        <v>42</v>
      </c>
      <c r="F7" s="5" t="s">
        <v>181</v>
      </c>
      <c r="G7" s="3" t="s">
        <v>180</v>
      </c>
      <c r="H7" s="12">
        <f t="shared" si="2"/>
        <v>4</v>
      </c>
      <c r="I7" s="4" t="s">
        <v>82</v>
      </c>
      <c r="J7" s="3" t="s">
        <v>114</v>
      </c>
      <c r="K7" s="3" t="s">
        <v>42</v>
      </c>
      <c r="L7" s="3" t="s">
        <v>182</v>
      </c>
      <c r="M7" s="3" t="s">
        <v>183</v>
      </c>
      <c r="N7" s="3" t="s">
        <v>184</v>
      </c>
      <c r="O7" s="5" t="s">
        <v>185</v>
      </c>
      <c r="P7" s="4" t="s">
        <v>186</v>
      </c>
      <c r="Q7" s="4" t="s">
        <v>187</v>
      </c>
      <c r="R7" s="3" t="s">
        <v>188</v>
      </c>
      <c r="S7" s="3" t="s">
        <v>189</v>
      </c>
      <c r="T7" s="3" t="s">
        <v>190</v>
      </c>
      <c r="U7" s="3" t="s">
        <v>192</v>
      </c>
      <c r="V7" s="4" t="s">
        <v>191</v>
      </c>
    </row>
    <row r="8" spans="1:22" x14ac:dyDescent="0.2">
      <c r="A8" s="5" t="str">
        <f t="shared" si="0"/>
        <v>kCard_Blocked_EMV_StringNo</v>
      </c>
      <c r="B8" s="14" t="s">
        <v>38</v>
      </c>
      <c r="D8" s="3" t="str">
        <f t="shared" si="1"/>
        <v>Card_Blocked</v>
      </c>
      <c r="E8" s="3" t="s">
        <v>43</v>
      </c>
      <c r="F8" s="5" t="s">
        <v>205</v>
      </c>
      <c r="G8" s="4" t="s">
        <v>204</v>
      </c>
      <c r="H8" s="12">
        <f t="shared" si="2"/>
        <v>5</v>
      </c>
      <c r="I8" s="4" t="s">
        <v>83</v>
      </c>
      <c r="J8" s="3" t="s">
        <v>115</v>
      </c>
      <c r="K8" s="3" t="s">
        <v>43</v>
      </c>
      <c r="L8" s="3" t="s">
        <v>203</v>
      </c>
      <c r="M8" s="3" t="s">
        <v>202</v>
      </c>
      <c r="N8" s="3" t="s">
        <v>201</v>
      </c>
      <c r="O8" s="5" t="s">
        <v>200</v>
      </c>
      <c r="P8" s="3" t="s">
        <v>199</v>
      </c>
      <c r="Q8" s="4" t="s">
        <v>198</v>
      </c>
      <c r="R8" s="3" t="s">
        <v>197</v>
      </c>
      <c r="S8" s="3" t="s">
        <v>196</v>
      </c>
      <c r="T8" s="3" t="s">
        <v>195</v>
      </c>
      <c r="U8" s="3" t="s">
        <v>193</v>
      </c>
      <c r="V8" s="4" t="s">
        <v>194</v>
      </c>
    </row>
    <row r="9" spans="1:22" x14ac:dyDescent="0.2">
      <c r="A9" s="5" t="str">
        <f t="shared" si="0"/>
        <v>kInsert_Card_EMV_StringNo</v>
      </c>
      <c r="B9" s="14" t="s">
        <v>38</v>
      </c>
      <c r="D9" s="3" t="str">
        <f t="shared" si="1"/>
        <v>Insert_Card</v>
      </c>
      <c r="E9" s="3" t="s">
        <v>44</v>
      </c>
      <c r="F9" s="5" t="s">
        <v>206</v>
      </c>
      <c r="G9" s="3" t="s">
        <v>207</v>
      </c>
      <c r="H9" s="12">
        <f t="shared" si="2"/>
        <v>6</v>
      </c>
      <c r="I9" s="4" t="s">
        <v>84</v>
      </c>
      <c r="J9" s="3" t="s">
        <v>116</v>
      </c>
      <c r="K9" s="3" t="s">
        <v>44</v>
      </c>
      <c r="L9" s="3" t="s">
        <v>208</v>
      </c>
      <c r="M9" s="3" t="s">
        <v>209</v>
      </c>
      <c r="N9" s="3" t="s">
        <v>210</v>
      </c>
      <c r="O9" s="5" t="s">
        <v>211</v>
      </c>
      <c r="P9" s="3" t="s">
        <v>212</v>
      </c>
      <c r="Q9" s="3" t="s">
        <v>213</v>
      </c>
      <c r="R9" s="3" t="s">
        <v>214</v>
      </c>
      <c r="S9" s="3" t="s">
        <v>215</v>
      </c>
      <c r="T9" s="3" t="s">
        <v>216</v>
      </c>
      <c r="U9" s="3" t="s">
        <v>217</v>
      </c>
      <c r="V9" s="4" t="s">
        <v>217</v>
      </c>
    </row>
    <row r="10" spans="1:22" x14ac:dyDescent="0.2">
      <c r="A10" s="5" t="str">
        <f t="shared" si="0"/>
        <v>kCash_Amount_EMV_StringNo</v>
      </c>
      <c r="B10" s="14" t="s">
        <v>38</v>
      </c>
      <c r="D10" s="3" t="str">
        <f t="shared" si="1"/>
        <v>Cash_Amount</v>
      </c>
      <c r="E10" s="3" t="s">
        <v>45</v>
      </c>
      <c r="F10" s="5" t="s">
        <v>230</v>
      </c>
      <c r="G10" s="3" t="s">
        <v>229</v>
      </c>
      <c r="H10" s="12">
        <f t="shared" si="2"/>
        <v>7</v>
      </c>
      <c r="I10" s="4" t="s">
        <v>85</v>
      </c>
      <c r="J10" s="4" t="s">
        <v>117</v>
      </c>
      <c r="K10" s="3" t="s">
        <v>45</v>
      </c>
      <c r="L10" s="3" t="s">
        <v>228</v>
      </c>
      <c r="M10" s="3" t="s">
        <v>227</v>
      </c>
      <c r="N10" s="3" t="s">
        <v>226</v>
      </c>
      <c r="O10" s="4" t="s">
        <v>225</v>
      </c>
      <c r="P10" s="3" t="s">
        <v>224</v>
      </c>
      <c r="Q10" s="3" t="s">
        <v>223</v>
      </c>
      <c r="R10" s="3" t="s">
        <v>222</v>
      </c>
      <c r="S10" s="3" t="s">
        <v>221</v>
      </c>
      <c r="T10" s="3" t="s">
        <v>220</v>
      </c>
      <c r="U10" s="3" t="s">
        <v>218</v>
      </c>
      <c r="V10" s="3" t="s">
        <v>219</v>
      </c>
    </row>
    <row r="11" spans="1:22" x14ac:dyDescent="0.2">
      <c r="A11" s="5" t="str">
        <f t="shared" si="0"/>
        <v>kOnline_Amount_EMV_StringNo</v>
      </c>
      <c r="B11" s="14" t="s">
        <v>38</v>
      </c>
      <c r="D11" s="3" t="str">
        <f t="shared" si="1"/>
        <v>Online_Amount</v>
      </c>
      <c r="E11" s="3" t="s">
        <v>46</v>
      </c>
      <c r="F11" s="5" t="s">
        <v>231</v>
      </c>
      <c r="G11" s="4" t="s">
        <v>232</v>
      </c>
      <c r="H11" s="12">
        <f t="shared" si="2"/>
        <v>8</v>
      </c>
      <c r="I11" s="4" t="s">
        <v>86</v>
      </c>
      <c r="J11" s="3" t="s">
        <v>118</v>
      </c>
      <c r="K11" s="3" t="s">
        <v>46</v>
      </c>
      <c r="L11" s="3" t="s">
        <v>233</v>
      </c>
      <c r="M11" s="3" t="s">
        <v>234</v>
      </c>
      <c r="N11" s="3" t="s">
        <v>235</v>
      </c>
      <c r="O11" s="5" t="s">
        <v>236</v>
      </c>
      <c r="P11" s="3" t="s">
        <v>237</v>
      </c>
      <c r="Q11" s="3" t="s">
        <v>238</v>
      </c>
      <c r="R11" s="3" t="s">
        <v>239</v>
      </c>
      <c r="S11" s="3" t="s">
        <v>240</v>
      </c>
      <c r="T11" s="3" t="s">
        <v>241</v>
      </c>
      <c r="U11" s="3" t="s">
        <v>243</v>
      </c>
      <c r="V11" s="3" t="s">
        <v>242</v>
      </c>
    </row>
    <row r="12" spans="1:22" x14ac:dyDescent="0.2">
      <c r="A12" s="5" t="str">
        <f t="shared" si="0"/>
        <v>kPIN_or_Enter_EMV_StringNo</v>
      </c>
      <c r="B12" s="14" t="s">
        <v>38</v>
      </c>
      <c r="D12" s="3" t="str">
        <f t="shared" si="1"/>
        <v>PIN_or_Enter</v>
      </c>
      <c r="E12" s="3" t="s">
        <v>47</v>
      </c>
      <c r="F12" s="5" t="s">
        <v>255</v>
      </c>
      <c r="G12" s="3" t="s">
        <v>254</v>
      </c>
      <c r="H12" s="12">
        <f t="shared" si="2"/>
        <v>9</v>
      </c>
      <c r="I12" s="4" t="s">
        <v>87</v>
      </c>
      <c r="J12" s="3" t="s">
        <v>119</v>
      </c>
      <c r="K12" s="3" t="s">
        <v>47</v>
      </c>
      <c r="L12" s="3" t="s">
        <v>253</v>
      </c>
      <c r="M12" s="3" t="s">
        <v>280</v>
      </c>
      <c r="N12" s="3" t="s">
        <v>252</v>
      </c>
      <c r="O12" s="5" t="s">
        <v>251</v>
      </c>
      <c r="P12" s="3" t="s">
        <v>250</v>
      </c>
      <c r="Q12" s="3" t="s">
        <v>249</v>
      </c>
      <c r="R12" s="3" t="s">
        <v>248</v>
      </c>
      <c r="S12" s="3" t="s">
        <v>247</v>
      </c>
      <c r="T12" s="3" t="s">
        <v>246</v>
      </c>
      <c r="U12" s="3" t="s">
        <v>244</v>
      </c>
      <c r="V12" s="4" t="s">
        <v>245</v>
      </c>
    </row>
    <row r="13" spans="1:22" x14ac:dyDescent="0.2">
      <c r="A13" s="5" t="str">
        <f t="shared" si="0"/>
        <v>kOK_For_PIN_Bypass_EMV_StringNo</v>
      </c>
      <c r="B13" s="14" t="s">
        <v>38</v>
      </c>
      <c r="D13" s="3" t="str">
        <f t="shared" si="1"/>
        <v>OK_For_PIN_Bypass</v>
      </c>
      <c r="E13" s="3" t="s">
        <v>48</v>
      </c>
      <c r="F13" s="5" t="s">
        <v>256</v>
      </c>
      <c r="G13" s="3" t="s">
        <v>257</v>
      </c>
      <c r="H13" s="12">
        <f t="shared" si="2"/>
        <v>10</v>
      </c>
      <c r="I13" s="4" t="s">
        <v>91</v>
      </c>
      <c r="J13" s="3" t="s">
        <v>120</v>
      </c>
      <c r="K13" s="3" t="s">
        <v>48</v>
      </c>
      <c r="L13" s="3" t="s">
        <v>258</v>
      </c>
      <c r="M13" s="3" t="s">
        <v>259</v>
      </c>
      <c r="N13" s="3" t="s">
        <v>260</v>
      </c>
      <c r="O13" s="5" t="s">
        <v>261</v>
      </c>
      <c r="P13" s="3" t="s">
        <v>262</v>
      </c>
      <c r="Q13" s="3" t="s">
        <v>263</v>
      </c>
      <c r="R13" s="3" t="s">
        <v>264</v>
      </c>
      <c r="S13" s="3" t="s">
        <v>265</v>
      </c>
      <c r="T13" s="3" t="s">
        <v>266</v>
      </c>
      <c r="U13" s="3" t="s">
        <v>268</v>
      </c>
      <c r="V13" s="3" t="s">
        <v>267</v>
      </c>
    </row>
    <row r="14" spans="1:22" x14ac:dyDescent="0.2">
      <c r="A14" s="5" t="str">
        <f t="shared" si="0"/>
        <v>kIncorrect_PIN_EMV_StringNo</v>
      </c>
      <c r="B14" s="14" t="s">
        <v>38</v>
      </c>
      <c r="D14" s="3" t="str">
        <f t="shared" si="1"/>
        <v>Incorrect_PIN</v>
      </c>
      <c r="E14" s="3" t="s">
        <v>49</v>
      </c>
      <c r="F14" s="5" t="s">
        <v>282</v>
      </c>
      <c r="G14" s="3" t="s">
        <v>281</v>
      </c>
      <c r="H14" s="12">
        <f t="shared" si="2"/>
        <v>11</v>
      </c>
      <c r="I14" s="4" t="s">
        <v>88</v>
      </c>
      <c r="J14" s="3" t="s">
        <v>121</v>
      </c>
      <c r="K14" s="3" t="s">
        <v>49</v>
      </c>
      <c r="L14" s="3" t="s">
        <v>279</v>
      </c>
      <c r="M14" s="3" t="s">
        <v>278</v>
      </c>
      <c r="N14" s="3" t="s">
        <v>277</v>
      </c>
      <c r="O14" s="5" t="s">
        <v>276</v>
      </c>
      <c r="P14" s="3" t="s">
        <v>275</v>
      </c>
      <c r="Q14" s="3" t="s">
        <v>274</v>
      </c>
      <c r="R14" s="3" t="s">
        <v>273</v>
      </c>
      <c r="S14" s="3" t="s">
        <v>272</v>
      </c>
      <c r="T14" s="3" t="s">
        <v>271</v>
      </c>
      <c r="U14" s="3" t="s">
        <v>269</v>
      </c>
      <c r="V14" s="3" t="s">
        <v>270</v>
      </c>
    </row>
    <row r="15" spans="1:22" x14ac:dyDescent="0.2">
      <c r="A15" s="5" t="str">
        <f t="shared" si="0"/>
        <v>kLast_PIN_Try_EMV_StringNo</v>
      </c>
      <c r="B15" s="14" t="s">
        <v>38</v>
      </c>
      <c r="D15" s="3" t="str">
        <f t="shared" si="1"/>
        <v>Last_PIN_Try</v>
      </c>
      <c r="E15" s="3" t="s">
        <v>50</v>
      </c>
      <c r="F15" s="5" t="s">
        <v>283</v>
      </c>
      <c r="G15" s="3" t="s">
        <v>284</v>
      </c>
      <c r="H15" s="12">
        <f t="shared" si="2"/>
        <v>12</v>
      </c>
      <c r="I15" s="4" t="s">
        <v>89</v>
      </c>
      <c r="J15" s="3" t="s">
        <v>122</v>
      </c>
      <c r="K15" s="3" t="s">
        <v>50</v>
      </c>
      <c r="L15" s="3" t="s">
        <v>285</v>
      </c>
      <c r="M15" s="3" t="s">
        <v>286</v>
      </c>
      <c r="N15" s="3" t="s">
        <v>287</v>
      </c>
      <c r="O15" s="5" t="s">
        <v>288</v>
      </c>
      <c r="P15" s="3" t="s">
        <v>289</v>
      </c>
      <c r="Q15" s="3" t="s">
        <v>290</v>
      </c>
      <c r="R15" s="3" t="s">
        <v>292</v>
      </c>
      <c r="S15" s="3" t="s">
        <v>291</v>
      </c>
      <c r="T15" s="3" t="s">
        <v>293</v>
      </c>
      <c r="U15" s="3" t="s">
        <v>295</v>
      </c>
      <c r="V15" s="3" t="s">
        <v>294</v>
      </c>
    </row>
    <row r="16" spans="1:22" x14ac:dyDescent="0.2">
      <c r="A16" s="5" t="str">
        <f t="shared" si="0"/>
        <v>kAllow_PIN_Bypass_Yes_No_EMV_StringNo</v>
      </c>
      <c r="B16" s="14" t="s">
        <v>38</v>
      </c>
      <c r="D16" s="3" t="str">
        <f t="shared" si="1"/>
        <v>Allow_PIN_Bypass_Yes_No</v>
      </c>
      <c r="E16" s="3" t="s">
        <v>71</v>
      </c>
      <c r="F16" s="5" t="s">
        <v>296</v>
      </c>
      <c r="G16" s="3" t="s">
        <v>298</v>
      </c>
      <c r="H16" s="12">
        <f t="shared" si="2"/>
        <v>13</v>
      </c>
      <c r="I16" s="4" t="s">
        <v>90</v>
      </c>
      <c r="J16" s="3" t="s">
        <v>123</v>
      </c>
      <c r="K16" s="3" t="s">
        <v>51</v>
      </c>
      <c r="L16" s="3" t="s">
        <v>297</v>
      </c>
      <c r="M16" s="3" t="s">
        <v>299</v>
      </c>
      <c r="N16" s="3" t="s">
        <v>300</v>
      </c>
      <c r="O16" s="5" t="s">
        <v>301</v>
      </c>
      <c r="P16" s="3" t="s">
        <v>302</v>
      </c>
      <c r="Q16" s="3" t="s">
        <v>303</v>
      </c>
      <c r="R16" s="3" t="s">
        <v>304</v>
      </c>
      <c r="S16" s="3" t="s">
        <v>305</v>
      </c>
      <c r="T16" s="3" t="s">
        <v>306</v>
      </c>
      <c r="U16" s="3" t="s">
        <v>307</v>
      </c>
      <c r="V16" s="3" t="s">
        <v>308</v>
      </c>
    </row>
    <row r="17" spans="1:22" x14ac:dyDescent="0.2">
      <c r="A17" s="5" t="str">
        <f t="shared" si="0"/>
        <v>kPlease_Wait_EMV_StringNo</v>
      </c>
      <c r="B17" s="14" t="s">
        <v>38</v>
      </c>
      <c r="D17" s="3" t="str">
        <f t="shared" si="1"/>
        <v>Please_Wait</v>
      </c>
      <c r="E17" s="3" t="s">
        <v>52</v>
      </c>
      <c r="F17" s="5" t="s">
        <v>321</v>
      </c>
      <c r="G17" s="3" t="s">
        <v>320</v>
      </c>
      <c r="H17" s="12">
        <f t="shared" si="2"/>
        <v>14</v>
      </c>
      <c r="I17" s="4" t="s">
        <v>92</v>
      </c>
      <c r="J17" s="3" t="s">
        <v>124</v>
      </c>
      <c r="K17" s="3" t="s">
        <v>52</v>
      </c>
      <c r="L17" s="3" t="s">
        <v>318</v>
      </c>
      <c r="M17" s="3" t="s">
        <v>317</v>
      </c>
      <c r="N17" s="3" t="s">
        <v>316</v>
      </c>
      <c r="O17" s="5" t="s">
        <v>315</v>
      </c>
      <c r="P17" s="3" t="s">
        <v>314</v>
      </c>
      <c r="Q17" s="3" t="s">
        <v>313</v>
      </c>
      <c r="R17" s="3" t="s">
        <v>319</v>
      </c>
      <c r="S17" s="3" t="s">
        <v>312</v>
      </c>
      <c r="T17" s="3" t="s">
        <v>311</v>
      </c>
      <c r="U17" s="3" t="s">
        <v>309</v>
      </c>
      <c r="V17" s="3" t="s">
        <v>310</v>
      </c>
    </row>
    <row r="18" spans="1:22" x14ac:dyDescent="0.2">
      <c r="A18" s="5" t="str">
        <f t="shared" si="0"/>
        <v>kRemove_Card_EMV_StringNo</v>
      </c>
      <c r="B18" s="14" t="s">
        <v>38</v>
      </c>
      <c r="D18" s="3" t="str">
        <f t="shared" si="1"/>
        <v>Remove_Card</v>
      </c>
      <c r="E18" s="3" t="s">
        <v>53</v>
      </c>
      <c r="F18" s="5" t="s">
        <v>322</v>
      </c>
      <c r="G18" s="3" t="s">
        <v>323</v>
      </c>
      <c r="H18" s="12">
        <f t="shared" si="2"/>
        <v>15</v>
      </c>
      <c r="I18" s="4" t="s">
        <v>93</v>
      </c>
      <c r="J18" s="3" t="s">
        <v>125</v>
      </c>
      <c r="K18" s="3" t="s">
        <v>53</v>
      </c>
      <c r="L18" s="3" t="s">
        <v>324</v>
      </c>
      <c r="M18" s="3" t="s">
        <v>325</v>
      </c>
      <c r="N18" s="3" t="s">
        <v>326</v>
      </c>
      <c r="O18" s="5" t="s">
        <v>327</v>
      </c>
      <c r="P18" s="3" t="s">
        <v>328</v>
      </c>
      <c r="Q18" s="3" t="s">
        <v>329</v>
      </c>
      <c r="R18" s="3" t="s">
        <v>330</v>
      </c>
      <c r="S18" s="3" t="s">
        <v>331</v>
      </c>
      <c r="T18" s="3" t="s">
        <v>332</v>
      </c>
      <c r="U18" s="3" t="s">
        <v>334</v>
      </c>
      <c r="V18" s="3" t="s">
        <v>333</v>
      </c>
    </row>
    <row r="19" spans="1:22" x14ac:dyDescent="0.2">
      <c r="A19" s="5" t="str">
        <f t="shared" si="0"/>
        <v>kCard_Removed_EMV_StringNo</v>
      </c>
      <c r="B19" s="14" t="s">
        <v>38</v>
      </c>
      <c r="D19" s="3" t="str">
        <f t="shared" si="1"/>
        <v>Card_Removed</v>
      </c>
      <c r="E19" s="3" t="s">
        <v>54</v>
      </c>
      <c r="F19" s="5" t="s">
        <v>347</v>
      </c>
      <c r="G19" s="3" t="s">
        <v>346</v>
      </c>
      <c r="H19" s="12">
        <f t="shared" si="2"/>
        <v>16</v>
      </c>
      <c r="I19" s="4" t="s">
        <v>94</v>
      </c>
      <c r="J19" s="4" t="s">
        <v>126</v>
      </c>
      <c r="K19" s="3" t="s">
        <v>54</v>
      </c>
      <c r="L19" s="3" t="s">
        <v>345</v>
      </c>
      <c r="M19" s="3" t="s">
        <v>344</v>
      </c>
      <c r="N19" s="3" t="s">
        <v>343</v>
      </c>
      <c r="O19" s="5" t="s">
        <v>342</v>
      </c>
      <c r="P19" s="3" t="s">
        <v>341</v>
      </c>
      <c r="Q19" s="3" t="s">
        <v>340</v>
      </c>
      <c r="R19" s="3" t="s">
        <v>339</v>
      </c>
      <c r="S19" s="3" t="s">
        <v>338</v>
      </c>
      <c r="T19" s="3" t="s">
        <v>337</v>
      </c>
      <c r="U19" s="3" t="s">
        <v>335</v>
      </c>
      <c r="V19" s="3" t="s">
        <v>336</v>
      </c>
    </row>
    <row r="20" spans="1:22" ht="16" x14ac:dyDescent="0.2">
      <c r="A20" s="5" t="str">
        <f t="shared" si="0"/>
        <v>kUse_Chip_Reader_EMV_StringNo</v>
      </c>
      <c r="B20" s="14" t="s">
        <v>38</v>
      </c>
      <c r="D20" s="3" t="str">
        <f t="shared" si="1"/>
        <v>Use_Chip_Reader</v>
      </c>
      <c r="E20" s="3" t="s">
        <v>55</v>
      </c>
      <c r="F20" s="5" t="s">
        <v>348</v>
      </c>
      <c r="G20" s="3" t="s">
        <v>349</v>
      </c>
      <c r="H20" s="12">
        <f t="shared" si="2"/>
        <v>17</v>
      </c>
      <c r="I20" s="4" t="s">
        <v>95</v>
      </c>
      <c r="J20" s="3" t="s">
        <v>127</v>
      </c>
      <c r="K20" s="3" t="s">
        <v>55</v>
      </c>
      <c r="L20" s="3" t="s">
        <v>350</v>
      </c>
      <c r="M20" s="3" t="s">
        <v>351</v>
      </c>
      <c r="N20" s="3" t="s">
        <v>352</v>
      </c>
      <c r="O20" s="5" t="s">
        <v>353</v>
      </c>
      <c r="P20" s="3" t="s">
        <v>354</v>
      </c>
      <c r="Q20" s="3" t="s">
        <v>355</v>
      </c>
      <c r="R20" s="15" t="s">
        <v>356</v>
      </c>
      <c r="S20" s="3" t="s">
        <v>357</v>
      </c>
      <c r="T20" s="3" t="s">
        <v>358</v>
      </c>
      <c r="U20" s="3" t="s">
        <v>360</v>
      </c>
      <c r="V20" s="3" t="s">
        <v>359</v>
      </c>
    </row>
    <row r="21" spans="1:22" x14ac:dyDescent="0.2">
      <c r="A21" s="5" t="str">
        <f t="shared" si="0"/>
        <v>kUse_Magstripe_EMV_StringNo</v>
      </c>
      <c r="B21" s="14" t="s">
        <v>38</v>
      </c>
      <c r="D21" s="3" t="str">
        <f t="shared" si="1"/>
        <v>Use_Magstripe</v>
      </c>
      <c r="E21" s="3" t="s">
        <v>56</v>
      </c>
      <c r="F21" s="5" t="s">
        <v>372</v>
      </c>
      <c r="G21" s="3" t="s">
        <v>371</v>
      </c>
      <c r="H21" s="12">
        <f t="shared" si="2"/>
        <v>18</v>
      </c>
      <c r="I21" s="4" t="s">
        <v>96</v>
      </c>
      <c r="J21" s="3" t="s">
        <v>128</v>
      </c>
      <c r="K21" s="3" t="s">
        <v>56</v>
      </c>
      <c r="L21" s="3" t="s">
        <v>370</v>
      </c>
      <c r="M21" s="3" t="s">
        <v>369</v>
      </c>
      <c r="N21" s="3" t="s">
        <v>368</v>
      </c>
      <c r="O21" s="5" t="s">
        <v>379</v>
      </c>
      <c r="P21" s="3" t="s">
        <v>367</v>
      </c>
      <c r="Q21" s="3" t="s">
        <v>366</v>
      </c>
      <c r="R21" s="3" t="s">
        <v>365</v>
      </c>
      <c r="S21" s="3" t="s">
        <v>364</v>
      </c>
      <c r="T21" s="3" t="s">
        <v>363</v>
      </c>
      <c r="U21" s="3" t="s">
        <v>361</v>
      </c>
      <c r="V21" s="3" t="s">
        <v>362</v>
      </c>
    </row>
    <row r="22" spans="1:22" x14ac:dyDescent="0.2">
      <c r="A22" s="5" t="str">
        <f t="shared" si="0"/>
        <v>kDate_Not_Set_EMV_StringNo</v>
      </c>
      <c r="B22" s="14" t="s">
        <v>38</v>
      </c>
      <c r="D22" s="3" t="str">
        <f t="shared" si="1"/>
        <v>Date_Not_Set</v>
      </c>
      <c r="E22" s="3" t="s">
        <v>57</v>
      </c>
      <c r="F22" s="5" t="s">
        <v>373</v>
      </c>
      <c r="G22" s="3" t="s">
        <v>374</v>
      </c>
      <c r="H22" s="12">
        <f t="shared" si="2"/>
        <v>19</v>
      </c>
      <c r="I22" s="4" t="s">
        <v>97</v>
      </c>
      <c r="J22" s="3" t="s">
        <v>129</v>
      </c>
      <c r="K22" s="3" t="s">
        <v>57</v>
      </c>
      <c r="L22" s="3" t="s">
        <v>375</v>
      </c>
      <c r="M22" s="3" t="s">
        <v>376</v>
      </c>
      <c r="N22" s="3" t="s">
        <v>377</v>
      </c>
      <c r="O22" s="5" t="s">
        <v>378</v>
      </c>
      <c r="P22" s="3" t="s">
        <v>380</v>
      </c>
      <c r="Q22" s="3" t="s">
        <v>381</v>
      </c>
      <c r="R22" s="3" t="s">
        <v>382</v>
      </c>
      <c r="S22" s="3" t="s">
        <v>383</v>
      </c>
      <c r="T22" s="3" t="s">
        <v>384</v>
      </c>
      <c r="U22" s="3" t="s">
        <v>386</v>
      </c>
      <c r="V22" s="3" t="s">
        <v>385</v>
      </c>
    </row>
    <row r="23" spans="1:22" x14ac:dyDescent="0.2">
      <c r="A23" s="5" t="str">
        <f t="shared" si="0"/>
        <v>kNo_Supported_Application_EMV_StringNo</v>
      </c>
      <c r="B23" s="14" t="s">
        <v>38</v>
      </c>
      <c r="D23" s="3" t="str">
        <f t="shared" si="1"/>
        <v>No_Supported_Application</v>
      </c>
      <c r="E23" s="3" t="s">
        <v>72</v>
      </c>
      <c r="F23" s="5" t="s">
        <v>399</v>
      </c>
      <c r="G23" s="3" t="s">
        <v>398</v>
      </c>
      <c r="H23" s="12">
        <f t="shared" si="2"/>
        <v>20</v>
      </c>
      <c r="I23" s="4" t="s">
        <v>98</v>
      </c>
      <c r="J23" s="3" t="s">
        <v>130</v>
      </c>
      <c r="K23" s="3" t="s">
        <v>58</v>
      </c>
      <c r="L23" s="3" t="s">
        <v>397</v>
      </c>
      <c r="M23" s="3" t="s">
        <v>396</v>
      </c>
      <c r="N23" s="3" t="s">
        <v>395</v>
      </c>
      <c r="O23" s="5" t="s">
        <v>394</v>
      </c>
      <c r="P23" s="3" t="s">
        <v>393</v>
      </c>
      <c r="Q23" s="3" t="s">
        <v>392</v>
      </c>
      <c r="R23" s="3" t="s">
        <v>391</v>
      </c>
      <c r="S23" s="3" t="s">
        <v>390</v>
      </c>
      <c r="T23" s="3" t="s">
        <v>389</v>
      </c>
      <c r="U23" s="3" t="s">
        <v>387</v>
      </c>
      <c r="V23" s="3" t="s">
        <v>388</v>
      </c>
    </row>
    <row r="24" spans="1:22" x14ac:dyDescent="0.2">
      <c r="A24" s="5" t="str">
        <f t="shared" si="0"/>
        <v>kApplication_Not_Supported_EMV_StringNo</v>
      </c>
      <c r="B24" s="14" t="s">
        <v>38</v>
      </c>
      <c r="D24" s="3" t="str">
        <f t="shared" si="1"/>
        <v>Application_Not_Supported</v>
      </c>
      <c r="E24" s="3" t="s">
        <v>73</v>
      </c>
      <c r="F24" s="5" t="s">
        <v>400</v>
      </c>
      <c r="G24" s="3" t="s">
        <v>401</v>
      </c>
      <c r="H24" s="12">
        <f t="shared" si="2"/>
        <v>21</v>
      </c>
      <c r="I24" s="4" t="s">
        <v>99</v>
      </c>
      <c r="J24" s="4" t="s">
        <v>131</v>
      </c>
      <c r="K24" s="3" t="s">
        <v>59</v>
      </c>
      <c r="L24" s="3" t="s">
        <v>402</v>
      </c>
      <c r="M24" s="3" t="s">
        <v>403</v>
      </c>
      <c r="N24" s="3" t="s">
        <v>404</v>
      </c>
      <c r="O24" s="5" t="s">
        <v>394</v>
      </c>
      <c r="P24" s="3" t="s">
        <v>405</v>
      </c>
      <c r="Q24" s="3" t="s">
        <v>406</v>
      </c>
      <c r="R24" s="3" t="s">
        <v>407</v>
      </c>
      <c r="S24" s="3" t="s">
        <v>408</v>
      </c>
      <c r="T24" s="3" t="s">
        <v>409</v>
      </c>
      <c r="U24" s="3" t="s">
        <v>411</v>
      </c>
      <c r="V24" s="3" t="s">
        <v>410</v>
      </c>
    </row>
    <row r="25" spans="1:22" x14ac:dyDescent="0.2">
      <c r="A25" s="5" t="str">
        <f t="shared" si="0"/>
        <v>kSelect_Other_Application_EMV_StringNo</v>
      </c>
      <c r="B25" s="14" t="s">
        <v>38</v>
      </c>
      <c r="D25" s="3" t="str">
        <f t="shared" si="1"/>
        <v>Select_Other_Application</v>
      </c>
      <c r="E25" s="3" t="s">
        <v>74</v>
      </c>
      <c r="F25" s="5" t="s">
        <v>424</v>
      </c>
      <c r="G25" s="3" t="s">
        <v>423</v>
      </c>
      <c r="H25" s="12">
        <f t="shared" si="2"/>
        <v>22</v>
      </c>
      <c r="I25" s="4" t="s">
        <v>100</v>
      </c>
      <c r="J25" s="3" t="s">
        <v>132</v>
      </c>
      <c r="K25" s="3" t="s">
        <v>60</v>
      </c>
      <c r="L25" s="3" t="s">
        <v>422</v>
      </c>
      <c r="M25" s="3" t="s">
        <v>421</v>
      </c>
      <c r="N25" s="3" t="s">
        <v>420</v>
      </c>
      <c r="O25" s="5" t="s">
        <v>419</v>
      </c>
      <c r="P25" s="3" t="s">
        <v>418</v>
      </c>
      <c r="Q25" s="3" t="s">
        <v>417</v>
      </c>
      <c r="R25" s="3" t="s">
        <v>416</v>
      </c>
      <c r="S25" s="3" t="s">
        <v>415</v>
      </c>
      <c r="T25" s="3" t="s">
        <v>414</v>
      </c>
      <c r="U25" s="3" t="s">
        <v>412</v>
      </c>
      <c r="V25" s="3" t="s">
        <v>413</v>
      </c>
    </row>
    <row r="26" spans="1:22" x14ac:dyDescent="0.2">
      <c r="A26" s="5" t="str">
        <f t="shared" si="0"/>
        <v>kTransaction_Completed_EMV_StringNo</v>
      </c>
      <c r="B26" s="14" t="s">
        <v>38</v>
      </c>
      <c r="D26" s="3" t="str">
        <f t="shared" si="1"/>
        <v>Transaction_Completed</v>
      </c>
      <c r="E26" s="3" t="s">
        <v>69</v>
      </c>
      <c r="F26" s="5" t="s">
        <v>425</v>
      </c>
      <c r="G26" s="3" t="s">
        <v>426</v>
      </c>
      <c r="H26" s="12">
        <f t="shared" si="2"/>
        <v>23</v>
      </c>
      <c r="I26" s="4" t="s">
        <v>101</v>
      </c>
      <c r="J26" s="3" t="s">
        <v>133</v>
      </c>
      <c r="K26" s="3" t="s">
        <v>61</v>
      </c>
      <c r="L26" s="3" t="s">
        <v>427</v>
      </c>
      <c r="M26" s="3" t="s">
        <v>428</v>
      </c>
      <c r="N26" s="3" t="s">
        <v>429</v>
      </c>
      <c r="O26" s="5" t="s">
        <v>430</v>
      </c>
      <c r="P26" s="3" t="s">
        <v>431</v>
      </c>
      <c r="Q26" s="3" t="s">
        <v>432</v>
      </c>
      <c r="R26" s="3" t="s">
        <v>433</v>
      </c>
      <c r="S26" s="3" t="s">
        <v>434</v>
      </c>
      <c r="T26" s="3" t="s">
        <v>435</v>
      </c>
      <c r="U26" s="3" t="s">
        <v>436</v>
      </c>
      <c r="V26" s="3" t="s">
        <v>436</v>
      </c>
    </row>
    <row r="27" spans="1:22" x14ac:dyDescent="0.2">
      <c r="A27" s="5" t="str">
        <f t="shared" si="0"/>
        <v>kProcessing_Now_EMV_StringNo</v>
      </c>
      <c r="B27" s="14" t="s">
        <v>38</v>
      </c>
      <c r="D27" s="3" t="str">
        <f t="shared" si="1"/>
        <v>Processing_Now</v>
      </c>
      <c r="E27" s="3" t="s">
        <v>62</v>
      </c>
      <c r="F27" s="5" t="s">
        <v>449</v>
      </c>
      <c r="G27" s="3" t="s">
        <v>448</v>
      </c>
      <c r="H27" s="12">
        <f t="shared" si="2"/>
        <v>24</v>
      </c>
      <c r="I27" s="4" t="s">
        <v>102</v>
      </c>
      <c r="J27" s="3" t="s">
        <v>134</v>
      </c>
      <c r="K27" s="3" t="s">
        <v>62</v>
      </c>
      <c r="L27" s="3" t="s">
        <v>447</v>
      </c>
      <c r="M27" s="3" t="s">
        <v>446</v>
      </c>
      <c r="N27" s="3" t="s">
        <v>445</v>
      </c>
      <c r="O27" s="5" t="s">
        <v>444</v>
      </c>
      <c r="P27" s="3" t="s">
        <v>443</v>
      </c>
      <c r="Q27" s="3" t="s">
        <v>442</v>
      </c>
      <c r="R27" s="3" t="s">
        <v>441</v>
      </c>
      <c r="S27" s="3" t="s">
        <v>440</v>
      </c>
      <c r="T27" s="3" t="s">
        <v>439</v>
      </c>
      <c r="U27" s="3" t="s">
        <v>437</v>
      </c>
      <c r="V27" s="3" t="s">
        <v>438</v>
      </c>
    </row>
    <row r="28" spans="1:22" x14ac:dyDescent="0.2">
      <c r="A28" s="5" t="str">
        <f t="shared" si="0"/>
        <v>kTransaction_Terminated_EMV_StringNo</v>
      </c>
      <c r="B28" s="14" t="s">
        <v>38</v>
      </c>
      <c r="D28" s="3" t="str">
        <f t="shared" si="1"/>
        <v>Transaction_Terminated</v>
      </c>
      <c r="E28" s="3" t="s">
        <v>70</v>
      </c>
      <c r="F28" s="5" t="s">
        <v>450</v>
      </c>
      <c r="G28" s="3" t="s">
        <v>451</v>
      </c>
      <c r="H28" s="12">
        <f t="shared" si="2"/>
        <v>25</v>
      </c>
      <c r="I28" s="4" t="s">
        <v>103</v>
      </c>
      <c r="J28" s="3" t="s">
        <v>135</v>
      </c>
      <c r="K28" s="3" t="s">
        <v>63</v>
      </c>
      <c r="L28" s="3" t="s">
        <v>452</v>
      </c>
      <c r="M28" s="3" t="s">
        <v>428</v>
      </c>
      <c r="N28" s="3" t="s">
        <v>453</v>
      </c>
      <c r="O28" s="5" t="s">
        <v>454</v>
      </c>
      <c r="P28" s="3" t="s">
        <v>455</v>
      </c>
      <c r="Q28" s="3" t="s">
        <v>456</v>
      </c>
      <c r="R28" s="3" t="s">
        <v>457</v>
      </c>
      <c r="S28" s="3" t="s">
        <v>458</v>
      </c>
      <c r="T28" s="3" t="s">
        <v>459</v>
      </c>
      <c r="U28" s="3" t="s">
        <v>461</v>
      </c>
      <c r="V28" s="3" t="s">
        <v>460</v>
      </c>
    </row>
    <row r="29" spans="1:22" x14ac:dyDescent="0.2">
      <c r="A29" s="5" t="str">
        <f t="shared" si="0"/>
        <v>kError_Memory_EMV_StringNo</v>
      </c>
      <c r="B29" s="14" t="s">
        <v>38</v>
      </c>
      <c r="D29" s="3" t="str">
        <f t="shared" si="1"/>
        <v>Error_Memory</v>
      </c>
      <c r="E29" s="3" t="s">
        <v>64</v>
      </c>
      <c r="F29" s="5" t="s">
        <v>462</v>
      </c>
      <c r="G29" s="3" t="s">
        <v>463</v>
      </c>
      <c r="H29" s="12">
        <f t="shared" si="2"/>
        <v>26</v>
      </c>
      <c r="I29" s="4" t="s">
        <v>104</v>
      </c>
      <c r="J29" s="3" t="s">
        <v>136</v>
      </c>
      <c r="K29" s="3" t="s">
        <v>76</v>
      </c>
      <c r="L29" s="3" t="s">
        <v>464</v>
      </c>
      <c r="M29" s="3" t="s">
        <v>465</v>
      </c>
      <c r="N29" s="3" t="s">
        <v>466</v>
      </c>
      <c r="O29" s="5" t="s">
        <v>467</v>
      </c>
      <c r="P29" s="3" t="s">
        <v>468</v>
      </c>
      <c r="Q29" s="3" t="s">
        <v>469</v>
      </c>
      <c r="R29" s="3" t="s">
        <v>470</v>
      </c>
      <c r="S29" s="3" t="s">
        <v>471</v>
      </c>
      <c r="T29" s="3" t="s">
        <v>472</v>
      </c>
      <c r="U29" s="3" t="s">
        <v>474</v>
      </c>
      <c r="V29" s="3" t="s">
        <v>473</v>
      </c>
    </row>
    <row r="30" spans="1:22" x14ac:dyDescent="0.2">
      <c r="A30" s="5" t="str">
        <f t="shared" si="0"/>
        <v>kError_Terminal_Configuration_EMV_StringNo</v>
      </c>
      <c r="B30" s="14" t="s">
        <v>38</v>
      </c>
      <c r="D30" s="3" t="str">
        <f t="shared" si="1"/>
        <v>Error_Terminal_Configuration</v>
      </c>
      <c r="E30" s="3" t="s">
        <v>65</v>
      </c>
      <c r="F30" s="5" t="s">
        <v>487</v>
      </c>
      <c r="G30" s="3" t="s">
        <v>486</v>
      </c>
      <c r="H30" s="12">
        <f t="shared" si="2"/>
        <v>27</v>
      </c>
      <c r="I30" s="4" t="s">
        <v>105</v>
      </c>
      <c r="J30" s="3" t="s">
        <v>137</v>
      </c>
      <c r="K30" s="3" t="s">
        <v>77</v>
      </c>
      <c r="L30" s="3" t="s">
        <v>485</v>
      </c>
      <c r="M30" s="3" t="s">
        <v>484</v>
      </c>
      <c r="N30" s="3" t="s">
        <v>483</v>
      </c>
      <c r="O30" s="5" t="s">
        <v>482</v>
      </c>
      <c r="P30" s="3" t="s">
        <v>481</v>
      </c>
      <c r="Q30" s="3" t="s">
        <v>480</v>
      </c>
      <c r="R30" s="3" t="s">
        <v>479</v>
      </c>
      <c r="S30" s="3" t="s">
        <v>478</v>
      </c>
      <c r="T30" s="3" t="s">
        <v>477</v>
      </c>
      <c r="U30" s="3" t="s">
        <v>475</v>
      </c>
      <c r="V30" s="3" t="s">
        <v>476</v>
      </c>
    </row>
    <row r="31" spans="1:22" x14ac:dyDescent="0.2">
      <c r="A31" s="5" t="str">
        <f t="shared" si="0"/>
        <v>kUnable_To_Process_Online_EMV_StringNo</v>
      </c>
      <c r="B31" s="14" t="s">
        <v>38</v>
      </c>
      <c r="D31" s="3" t="str">
        <f t="shared" si="1"/>
        <v>Unable_To_Process_Online</v>
      </c>
      <c r="E31" s="3" t="s">
        <v>489</v>
      </c>
      <c r="F31" s="5" t="s">
        <v>488</v>
      </c>
      <c r="G31" s="3" t="s">
        <v>490</v>
      </c>
      <c r="H31" s="12">
        <f t="shared" si="2"/>
        <v>28</v>
      </c>
      <c r="I31" s="4" t="s">
        <v>106</v>
      </c>
      <c r="J31" s="3" t="s">
        <v>138</v>
      </c>
      <c r="K31" s="3" t="s">
        <v>78</v>
      </c>
      <c r="L31" s="3" t="s">
        <v>491</v>
      </c>
      <c r="M31" s="3" t="s">
        <v>492</v>
      </c>
      <c r="N31" s="3" t="s">
        <v>493</v>
      </c>
      <c r="O31" s="5" t="s">
        <v>494</v>
      </c>
      <c r="P31" s="3" t="s">
        <v>495</v>
      </c>
      <c r="Q31" s="3" t="s">
        <v>496</v>
      </c>
      <c r="R31" s="3" t="s">
        <v>497</v>
      </c>
      <c r="S31" s="3" t="s">
        <v>498</v>
      </c>
      <c r="T31" s="3" t="s">
        <v>499</v>
      </c>
      <c r="U31" s="3" t="s">
        <v>501</v>
      </c>
      <c r="V31" s="3" t="s">
        <v>500</v>
      </c>
    </row>
    <row r="32" spans="1:22" x14ac:dyDescent="0.2">
      <c r="A32" s="5" t="str">
        <f t="shared" si="0"/>
        <v>kGet_Debug_Data_EMV_StringNo</v>
      </c>
      <c r="B32" s="14" t="s">
        <v>38</v>
      </c>
      <c r="D32" s="3" t="str">
        <f t="shared" si="1"/>
        <v>Get_Debug_Data</v>
      </c>
      <c r="E32" s="3" t="s">
        <v>66</v>
      </c>
      <c r="F32" s="5" t="s">
        <v>514</v>
      </c>
      <c r="G32" s="3" t="s">
        <v>513</v>
      </c>
      <c r="H32" s="12">
        <f t="shared" si="2"/>
        <v>29</v>
      </c>
      <c r="I32" s="4" t="s">
        <v>107</v>
      </c>
      <c r="J32" s="3" t="s">
        <v>139</v>
      </c>
      <c r="K32" s="3" t="s">
        <v>66</v>
      </c>
      <c r="L32" s="3" t="s">
        <v>512</v>
      </c>
      <c r="M32" s="3" t="s">
        <v>511</v>
      </c>
      <c r="N32" s="3" t="s">
        <v>510</v>
      </c>
      <c r="O32" s="5" t="s">
        <v>509</v>
      </c>
      <c r="P32" s="3" t="s">
        <v>508</v>
      </c>
      <c r="Q32" s="3" t="s">
        <v>507</v>
      </c>
      <c r="R32" s="3" t="s">
        <v>506</v>
      </c>
      <c r="S32" s="3" t="s">
        <v>505</v>
      </c>
      <c r="T32" s="3" t="s">
        <v>504</v>
      </c>
      <c r="U32" s="3" t="s">
        <v>502</v>
      </c>
      <c r="V32" s="3" t="s">
        <v>503</v>
      </c>
    </row>
    <row r="33" spans="1:22" x14ac:dyDescent="0.2">
      <c r="A33" s="5" t="str">
        <f t="shared" si="0"/>
        <v>kSwipe_Card_EMV_StringNo</v>
      </c>
      <c r="B33" s="14" t="s">
        <v>38</v>
      </c>
      <c r="D33" s="3" t="str">
        <f t="shared" si="1"/>
        <v>Swipe_Card</v>
      </c>
      <c r="E33" s="3" t="s">
        <v>67</v>
      </c>
      <c r="F33" s="5" t="s">
        <v>515</v>
      </c>
      <c r="G33" s="3" t="s">
        <v>516</v>
      </c>
      <c r="H33" s="12">
        <f t="shared" si="2"/>
        <v>30</v>
      </c>
      <c r="I33" s="4" t="s">
        <v>108</v>
      </c>
      <c r="J33" s="3" t="s">
        <v>140</v>
      </c>
      <c r="K33" s="3" t="s">
        <v>67</v>
      </c>
      <c r="L33" s="3" t="s">
        <v>517</v>
      </c>
      <c r="M33" s="3" t="s">
        <v>518</v>
      </c>
      <c r="N33" s="3" t="s">
        <v>519</v>
      </c>
      <c r="O33" s="5" t="s">
        <v>520</v>
      </c>
      <c r="P33" s="3" t="s">
        <v>521</v>
      </c>
      <c r="Q33" s="3" t="s">
        <v>522</v>
      </c>
      <c r="R33" s="3" t="s">
        <v>523</v>
      </c>
      <c r="S33" s="3" t="s">
        <v>524</v>
      </c>
      <c r="T33" s="3" t="s">
        <v>525</v>
      </c>
      <c r="U33" s="3" t="s">
        <v>526</v>
      </c>
      <c r="V33" s="3" t="s">
        <v>526</v>
      </c>
    </row>
    <row r="34" spans="1:22" x14ac:dyDescent="0.2">
      <c r="A34" s="5" t="str">
        <f t="shared" si="0"/>
        <v>kCAPK_Checksum_Error_EMV_StringNo</v>
      </c>
      <c r="B34" s="14" t="s">
        <v>38</v>
      </c>
      <c r="D34" s="3" t="str">
        <f t="shared" si="1"/>
        <v>CAPK_Checksum_Error</v>
      </c>
      <c r="E34" s="3" t="s">
        <v>68</v>
      </c>
      <c r="F34" s="5" t="s">
        <v>539</v>
      </c>
      <c r="G34" s="3" t="s">
        <v>538</v>
      </c>
      <c r="H34" s="12">
        <f t="shared" si="2"/>
        <v>31</v>
      </c>
      <c r="I34" s="4" t="s">
        <v>109</v>
      </c>
      <c r="J34" s="3" t="s">
        <v>141</v>
      </c>
      <c r="K34" s="3" t="s">
        <v>68</v>
      </c>
      <c r="L34" s="3" t="s">
        <v>537</v>
      </c>
      <c r="M34" s="3" t="s">
        <v>536</v>
      </c>
      <c r="N34" s="3" t="s">
        <v>535</v>
      </c>
      <c r="O34" s="5" t="s">
        <v>534</v>
      </c>
      <c r="P34" s="3" t="s">
        <v>533</v>
      </c>
      <c r="Q34" s="3" t="s">
        <v>532</v>
      </c>
      <c r="R34" s="3" t="s">
        <v>531</v>
      </c>
      <c r="S34" s="3" t="s">
        <v>530</v>
      </c>
      <c r="T34" s="3" t="s">
        <v>529</v>
      </c>
      <c r="U34" s="3" t="s">
        <v>527</v>
      </c>
      <c r="V34" s="3" t="s">
        <v>528</v>
      </c>
    </row>
  </sheetData>
  <pageMargins left="0.7" right="0.7" top="0.75" bottom="0.75" header="0.3" footer="0.3"/>
  <pageSetup orientation="portrait" r:id="rId1"/>
  <ignoredErrors>
    <ignoredError sqref="H35:H5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tabSelected="1" topLeftCell="A3" workbookViewId="0">
      <selection activeCell="B5" sqref="B5"/>
    </sheetView>
  </sheetViews>
  <sheetFormatPr baseColWidth="10" defaultColWidth="8.83203125" defaultRowHeight="15" x14ac:dyDescent="0.2"/>
  <cols>
    <col min="1" max="1" width="22.6640625" style="2" bestFit="1" customWidth="1"/>
    <col min="2" max="2" width="93.83203125" customWidth="1"/>
  </cols>
  <sheetData>
    <row r="1" spans="1:2" x14ac:dyDescent="0.2">
      <c r="A1" s="2" t="s">
        <v>543</v>
      </c>
      <c r="B1" s="2" t="s">
        <v>544</v>
      </c>
    </row>
    <row r="2" spans="1:2" ht="409.6" x14ac:dyDescent="0.2">
      <c r="A2" s="16" t="s">
        <v>546</v>
      </c>
      <c r="B2" s="17" t="s">
        <v>548</v>
      </c>
    </row>
    <row r="3" spans="1:2" ht="409.6" x14ac:dyDescent="0.2">
      <c r="A3" s="18" t="s">
        <v>545</v>
      </c>
      <c r="B3" s="17" t="s">
        <v>549</v>
      </c>
    </row>
    <row r="4" spans="1:2" ht="409.6" x14ac:dyDescent="0.2">
      <c r="A4" s="18" t="s">
        <v>547</v>
      </c>
      <c r="B4" s="17" t="s">
        <v>550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Languages</vt:lpstr>
      <vt:lpstr>Strings</vt:lpstr>
      <vt:lpstr>Templates</vt:lpstr>
      <vt:lpstr>Histogram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craigm</dc:creator>
  <cp:lastModifiedBy>Microsoft Office User</cp:lastModifiedBy>
  <dcterms:created xsi:type="dcterms:W3CDTF">2011-08-17T03:36:36Z</dcterms:created>
  <dcterms:modified xsi:type="dcterms:W3CDTF">2023-07-03T08:46:38Z</dcterms:modified>
</cp:coreProperties>
</file>